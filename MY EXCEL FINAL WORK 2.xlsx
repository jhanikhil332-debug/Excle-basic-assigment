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xl/charts/colors2.xml" ContentType="application/vnd.ms-office.chartcolorsty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 firstSheet="2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8"/>
  <c r="J32"/>
  <c r="J31"/>
  <c r="J30"/>
  <c r="J26"/>
  <c r="J24"/>
  <c r="J5"/>
  <c r="J5" i="6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2"/>
  <c r="I33" i="7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26"/>
  <c r="I27"/>
  <c r="I28"/>
  <c r="I29"/>
  <c r="I30"/>
  <c r="I31"/>
  <c r="I32"/>
  <c r="I20"/>
  <c r="I21"/>
  <c r="I22"/>
  <c r="I23"/>
  <c r="I24"/>
  <c r="I25"/>
  <c r="I13"/>
  <c r="I14"/>
  <c r="I15"/>
  <c r="I16"/>
  <c r="I17"/>
  <c r="I18"/>
  <c r="I19"/>
  <c r="I5"/>
  <c r="I6"/>
  <c r="I7"/>
  <c r="I8"/>
  <c r="I9"/>
  <c r="I10"/>
  <c r="I11"/>
  <c r="I12"/>
  <c r="I4"/>
  <c r="D13" i="3"/>
  <c r="I36" i="5"/>
  <c r="I32"/>
  <c r="I31"/>
  <c r="I30"/>
  <c r="I26"/>
  <c r="I24"/>
  <c r="I5"/>
  <c r="J5" i="4"/>
  <c r="F6" i="2"/>
</calcChain>
</file>

<file path=xl/sharedStrings.xml><?xml version="1.0" encoding="utf-8"?>
<sst xmlns="http://schemas.openxmlformats.org/spreadsheetml/2006/main" count="824" uniqueCount="101">
  <si>
    <t>Q2.  Write a formula to calculate the total prices of  Car and Bicycle only.</t>
  </si>
  <si>
    <t xml:space="preserve">VEHICAL </t>
  </si>
  <si>
    <t>PRICE</t>
  </si>
  <si>
    <t>Car</t>
  </si>
  <si>
    <t>Bicycle</t>
  </si>
  <si>
    <t>Auto-Rickshaw</t>
  </si>
  <si>
    <t xml:space="preserve">Solution:  </t>
  </si>
  <si>
    <t>total prices of car and bicycle is = 510500</t>
  </si>
  <si>
    <t>Formula is =  =sum(D5:D6)</t>
  </si>
  <si>
    <t>ITEM</t>
  </si>
  <si>
    <t>SALES</t>
  </si>
  <si>
    <t>Item 1</t>
  </si>
  <si>
    <t>Item 2</t>
  </si>
  <si>
    <t>Item 3</t>
  </si>
  <si>
    <t xml:space="preserve">SOLUTION: 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</si>
  <si>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</si>
  <si>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</si>
  <si>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</si>
  <si>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</si>
  <si>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</si>
  <si>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</si>
  <si>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</si>
  <si>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</si>
  <si>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</si>
  <si>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</si>
  <si>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</si>
  <si>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</si>
  <si>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</si>
  <si>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</si>
  <si>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</si>
  <si>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</si>
  <si>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</si>
  <si>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</si>
  <si>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</si>
  <si>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</si>
  <si>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</si>
  <si>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</si>
  <si>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</si>
  <si>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</si>
  <si>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</si>
  <si>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</si>
  <si>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</si>
  <si>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</si>
  <si>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</si>
  <si>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</si>
  <si>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</si>
  <si>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</si>
  <si>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</si>
  <si>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</si>
  <si>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</si>
  <si>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</si>
  <si>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</si>
  <si>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</si>
  <si>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</si>
  <si>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</si>
  <si>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</si>
  <si>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</si>
  <si>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</si>
  <si>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</si>
  <si>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</si>
  <si>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</si>
  <si>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</si>
  <si>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</si>
  <si>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</si>
  <si>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</si>
  <si>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</si>
  <si>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</si>
  <si>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</si>
  <si>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</si>
  <si>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</si>
  <si>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</si>
  <si>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</si>
  <si>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</si>
  <si>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</si>
  <si>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</si>
  <si>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</si>
  <si>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</si>
  <si>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</si>
  <si>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</si>
  <si>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</si>
  <si>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</si>
  <si>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 </t>
  </si>
  <si>
    <t>Q4. Count how many customer names are recorded.</t>
  </si>
  <si>
    <t>Total no. of customer name are recorded = 50</t>
  </si>
  <si>
    <t>Formula =  =COUNTA(B2:B51)</t>
  </si>
  <si>
    <t>Q.5 Calculate the Total Sales for each row using a formula.</t>
  </si>
  <si>
    <t xml:space="preserve">Total sales </t>
  </si>
  <si>
    <t>Relative (A1): No locks. Everything moves. If you drag the formula, the cell reference follows the direction you move.</t>
  </si>
  <si>
    <t>Absolute ($A$1): Both locked. Nothing moves. The formula always points to that exact cell, no matter where you paste it.</t>
  </si>
  <si>
    <t>Mixed ($A1 or A$1): One part locked.</t>
  </si>
  <si>
    <t>$A1 locks the column (stays in A).</t>
  </si>
  <si>
    <t>A$1 locks the row (stays in 1).</t>
  </si>
  <si>
    <t>Q1. Explain the difference between Relative , Absolute and Mixed Cell Referencing._x000B_</t>
  </si>
  <si>
    <t xml:space="preserve">Solution : The average of item price above 100 but less than 300 = 1350 </t>
  </si>
  <si>
    <t>Using the data below, write a formula to calculate the average sales of items priced above 100 but less than</t>
  </si>
  <si>
    <t>Q3.</t>
  </si>
  <si>
    <t xml:space="preserve"> FORMULA : =SUMIFS(H2:H51,D2:D51,"Notebook",C2:C51,"North")</t>
  </si>
  <si>
    <t>Q7. Create a column chart showing total sales by product.</t>
  </si>
  <si>
    <t>Q8.Insert a line chart showing daily sales trend.</t>
  </si>
  <si>
    <t>FORMULA: =PRODUCT(Value1,Value2)</t>
  </si>
  <si>
    <t>FORMULA: =AVERAGEIFS(E5:E7,D5:D7,"&gt;100",D5:D7",&lt;300")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</si>
</sst>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[$-F800]dddd\,\ mmmm\ dd\,\ yyyy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5" xfId="0" applyFont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4" fillId="7" borderId="4" xfId="0" applyFont="1" applyFill="1" applyBorder="1" applyAlignment="1">
      <alignment horizontal="right" wrapText="1"/>
    </xf>
    <xf numFmtId="0" fontId="4" fillId="7" borderId="4" xfId="0" applyFont="1" applyFill="1" applyBorder="1" applyAlignment="1">
      <alignment wrapText="1"/>
    </xf>
    <xf numFmtId="14" fontId="4" fillId="7" borderId="4" xfId="0" applyNumberFormat="1" applyFont="1" applyFill="1" applyBorder="1" applyAlignment="1">
      <alignment horizontal="right" wrapText="1"/>
    </xf>
    <xf numFmtId="0" fontId="0" fillId="8" borderId="0" xfId="0" applyFill="1"/>
    <xf numFmtId="0" fontId="2" fillId="6" borderId="0" xfId="0" applyFont="1" applyFill="1"/>
    <xf numFmtId="0" fontId="2" fillId="9" borderId="0" xfId="0" applyFont="1" applyFill="1"/>
    <xf numFmtId="0" fontId="0" fillId="9" borderId="0" xfId="0" applyFill="1"/>
    <xf numFmtId="0" fontId="3" fillId="6" borderId="6" xfId="0" applyFont="1" applyFill="1" applyBorder="1" applyAlignment="1">
      <alignment wrapText="1"/>
    </xf>
    <xf numFmtId="0" fontId="0" fillId="10" borderId="0" xfId="0" applyFill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2" fillId="7" borderId="0" xfId="0" applyFont="1" applyFill="1"/>
    <xf numFmtId="0" fontId="0" fillId="8" borderId="0" xfId="1" applyNumberFormat="1" applyFont="1" applyFill="1"/>
    <xf numFmtId="0" fontId="2" fillId="12" borderId="0" xfId="0" applyFont="1" applyFill="1"/>
    <xf numFmtId="0" fontId="0" fillId="12" borderId="0" xfId="0" applyFill="1"/>
    <xf numFmtId="0" fontId="0" fillId="8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4" borderId="10" xfId="0" applyFill="1" applyBorder="1"/>
    <xf numFmtId="0" fontId="0" fillId="14" borderId="11" xfId="0" applyFill="1" applyBorder="1"/>
    <xf numFmtId="0" fontId="0" fillId="14" borderId="12" xfId="0" applyFill="1" applyBorder="1"/>
    <xf numFmtId="0" fontId="0" fillId="14" borderId="13" xfId="0" applyFill="1" applyBorder="1"/>
    <xf numFmtId="0" fontId="2" fillId="11" borderId="0" xfId="0" applyFont="1" applyFill="1" applyAlignment="1">
      <alignment horizontal="right"/>
    </xf>
    <xf numFmtId="0" fontId="2" fillId="11" borderId="0" xfId="0" applyFont="1" applyFill="1"/>
    <xf numFmtId="0" fontId="0" fillId="11" borderId="0" xfId="0" applyFill="1"/>
    <xf numFmtId="0" fontId="3" fillId="0" borderId="14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4" fillId="0" borderId="14" xfId="0" applyFont="1" applyBorder="1" applyAlignment="1">
      <alignment wrapText="1"/>
    </xf>
    <xf numFmtId="14" fontId="4" fillId="0" borderId="14" xfId="0" applyNumberFormat="1" applyFont="1" applyBorder="1" applyAlignment="1">
      <alignment horizontal="right" wrapText="1"/>
    </xf>
    <xf numFmtId="0" fontId="5" fillId="0" borderId="14" xfId="0" applyFont="1" applyBorder="1" applyAlignment="1">
      <alignment wrapText="1"/>
    </xf>
    <xf numFmtId="0" fontId="3" fillId="6" borderId="14" xfId="0" applyFont="1" applyFill="1" applyBorder="1" applyAlignment="1">
      <alignment wrapText="1"/>
    </xf>
    <xf numFmtId="164" fontId="4" fillId="0" borderId="14" xfId="0" applyNumberFormat="1" applyFont="1" applyBorder="1" applyAlignment="1">
      <alignment horizontal="right" wrapText="1"/>
    </xf>
    <xf numFmtId="1" fontId="4" fillId="0" borderId="14" xfId="0" applyNumberFormat="1" applyFont="1" applyBorder="1" applyAlignment="1">
      <alignment horizontal="right" wrapText="1"/>
    </xf>
    <xf numFmtId="0" fontId="0" fillId="15" borderId="0" xfId="0" applyFill="1"/>
    <xf numFmtId="0" fontId="0" fillId="16" borderId="0" xfId="0" applyFill="1"/>
    <xf numFmtId="0" fontId="2" fillId="7" borderId="7" xfId="0" applyFont="1" applyFill="1" applyBorder="1"/>
    <xf numFmtId="0" fontId="2" fillId="7" borderId="8" xfId="0" applyFont="1" applyFill="1" applyBorder="1"/>
    <xf numFmtId="0" fontId="0" fillId="7" borderId="9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 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Sheet7!$I$3</c:f>
              <c:strCache>
                <c:ptCount val="1"/>
                <c:pt idx="0">
                  <c:v>Total sales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Sheet7!$E$4:$E$53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Sheet7!$I$4:$I$53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6E2-4388-AD06-911A09872253}"/>
            </c:ext>
          </c:extLst>
        </c:ser>
        <c:ser>
          <c:idx val="1"/>
          <c:order val="1"/>
          <c:tx>
            <c:strRef>
              <c:f>Sheet7!$E$3</c:f>
              <c:strCache>
                <c:ptCount val="1"/>
                <c:pt idx="0">
                  <c:v>Product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Sheet7!$E$4:$E$53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6E2-4388-AD06-911A09872253}"/>
            </c:ext>
          </c:extLst>
        </c:ser>
        <c:dLbls/>
        <c:gapWidth val="100"/>
        <c:overlap val="-24"/>
        <c:axId val="139218304"/>
        <c:axId val="139232384"/>
      </c:barChart>
      <c:catAx>
        <c:axId val="13921830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2384"/>
        <c:crosses val="autoZero"/>
        <c:auto val="1"/>
        <c:lblAlgn val="ctr"/>
        <c:lblOffset val="100"/>
      </c:catAx>
      <c:valAx>
        <c:axId val="1392323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</a:t>
            </a:r>
          </a:p>
        </c:rich>
      </c:tx>
      <c:layout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6.2262558220684841E-2"/>
          <c:y val="0.15782407407407409"/>
          <c:w val="0.92373231380759491"/>
          <c:h val="0.59869313210848663"/>
        </c:manualLayout>
      </c:layout>
      <c:lineChart>
        <c:grouping val="standard"/>
        <c:ser>
          <c:idx val="0"/>
          <c:order val="0"/>
          <c:tx>
            <c:strRef>
              <c:f>Sheet8!$J$4</c:f>
              <c:strCache>
                <c:ptCount val="1"/>
                <c:pt idx="0">
                  <c:v>Total sales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Sheet8!$H$5:$H$54</c:f>
              <c:numCache>
                <c:formatCode>dd/mm/yyyy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Sheet8!$J$5:$J$54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79-442B-93ED-CD5A3451ED6B}"/>
            </c:ext>
          </c:extLst>
        </c:ser>
        <c:dLbls/>
        <c:marker val="1"/>
        <c:axId val="139548544"/>
        <c:axId val="139550080"/>
      </c:lineChart>
      <c:dateAx>
        <c:axId val="139548544"/>
        <c:scaling>
          <c:orientation val="minMax"/>
        </c:scaling>
        <c:axPos val="b"/>
        <c:numFmt formatCode="dd/mm/yyyy" sourceLinked="1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0080"/>
        <c:crosses val="autoZero"/>
        <c:auto val="1"/>
        <c:lblOffset val="100"/>
        <c:baseTimeUnit val="days"/>
      </c:dateAx>
      <c:valAx>
        <c:axId val="1395500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4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3</xdr:row>
      <xdr:rowOff>128587</xdr:rowOff>
    </xdr:from>
    <xdr:to>
      <xdr:col>26</xdr:col>
      <xdr:colOff>28575</xdr:colOff>
      <xdr:row>17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E3C2C202-0A75-8038-45F3-5949A3E36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5</xdr:row>
      <xdr:rowOff>104775</xdr:rowOff>
    </xdr:from>
    <xdr:to>
      <xdr:col>24</xdr:col>
      <xdr:colOff>533399</xdr:colOff>
      <xdr:row>12</xdr:row>
      <xdr:rowOff>204787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6C8C73CF-68CC-37D3-E82A-2AB965F37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9"/>
  <sheetViews>
    <sheetView workbookViewId="0">
      <selection activeCell="C19" sqref="C19"/>
    </sheetView>
  </sheetViews>
  <sheetFormatPr defaultRowHeight="14.25"/>
  <cols>
    <col min="1" max="1" width="10" customWidth="1"/>
    <col min="2" max="2" width="12.75" customWidth="1"/>
  </cols>
  <sheetData>
    <row r="2" spans="1:15" ht="18">
      <c r="A2" s="23" t="s">
        <v>92</v>
      </c>
      <c r="B2" s="23"/>
      <c r="C2" s="23"/>
      <c r="D2" s="23"/>
      <c r="E2" s="23"/>
      <c r="F2" s="23"/>
      <c r="G2" s="23"/>
      <c r="H2" s="23"/>
      <c r="I2" s="8"/>
      <c r="J2" s="8"/>
    </row>
    <row r="5" spans="1:15" ht="18">
      <c r="A5" s="24">
        <v>1</v>
      </c>
      <c r="B5" s="25" t="s">
        <v>87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6"/>
      <c r="N5" s="26"/>
      <c r="O5" s="26"/>
    </row>
    <row r="6" spans="1:15" ht="18">
      <c r="A6" s="14">
        <v>2</v>
      </c>
      <c r="B6" s="25" t="s">
        <v>88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  <c r="O6" s="26"/>
    </row>
    <row r="7" spans="1:15" ht="18">
      <c r="A7" s="14">
        <v>3</v>
      </c>
      <c r="B7" s="25" t="s">
        <v>89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  <c r="N7" s="26"/>
      <c r="O7" s="26"/>
    </row>
    <row r="8" spans="1:15" ht="18">
      <c r="A8" s="14"/>
      <c r="B8" s="25" t="s">
        <v>90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6"/>
      <c r="N8" s="26"/>
      <c r="O8" s="26"/>
    </row>
    <row r="9" spans="1:15" ht="18">
      <c r="A9" s="14"/>
      <c r="B9" s="25" t="s">
        <v>91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  <c r="N9" s="26"/>
      <c r="O9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selection activeCell="F18" sqref="F18"/>
    </sheetView>
  </sheetViews>
  <sheetFormatPr defaultRowHeight="14.25"/>
  <cols>
    <col min="3" max="3" width="14.625" customWidth="1"/>
  </cols>
  <sheetData>
    <row r="1" spans="1:10" ht="15" thickBot="1"/>
    <row r="2" spans="1:10" ht="18.75" thickBot="1">
      <c r="B2" s="1" t="s">
        <v>0</v>
      </c>
      <c r="C2" s="2"/>
      <c r="D2" s="2"/>
      <c r="E2" s="2"/>
      <c r="F2" s="2"/>
      <c r="G2" s="2"/>
      <c r="H2" s="2"/>
      <c r="I2" s="2"/>
      <c r="J2" s="3"/>
    </row>
    <row r="4" spans="1:10">
      <c r="C4" s="4" t="s">
        <v>1</v>
      </c>
      <c r="D4" s="4" t="s">
        <v>2</v>
      </c>
    </row>
    <row r="5" spans="1:10">
      <c r="C5" s="4" t="s">
        <v>3</v>
      </c>
      <c r="D5" s="4">
        <v>500000</v>
      </c>
    </row>
    <row r="6" spans="1:10">
      <c r="C6" s="4" t="s">
        <v>4</v>
      </c>
      <c r="D6" s="4">
        <v>10500</v>
      </c>
      <c r="F6" s="5">
        <f>SUM(D5:D6)</f>
        <v>510500</v>
      </c>
    </row>
    <row r="7" spans="1:10">
      <c r="C7" s="4" t="s">
        <v>5</v>
      </c>
      <c r="D7" s="4">
        <v>25000</v>
      </c>
    </row>
    <row r="9" spans="1:10">
      <c r="A9" s="8" t="s">
        <v>6</v>
      </c>
      <c r="B9" s="7" t="s">
        <v>7</v>
      </c>
      <c r="C9" s="7"/>
      <c r="D9" s="7"/>
      <c r="E9" s="7"/>
    </row>
    <row r="10" spans="1:10">
      <c r="B10" s="7" t="s">
        <v>8</v>
      </c>
      <c r="C10" s="7"/>
      <c r="D10" s="7"/>
      <c r="E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N16"/>
  <sheetViews>
    <sheetView tabSelected="1" workbookViewId="0">
      <selection activeCell="J7" sqref="J7"/>
    </sheetView>
  </sheetViews>
  <sheetFormatPr defaultRowHeight="14.25"/>
  <cols>
    <col min="2" max="2" width="10.125" customWidth="1"/>
    <col min="7" max="7" width="13.25" customWidth="1"/>
  </cols>
  <sheetData>
    <row r="2" spans="1:14" ht="18">
      <c r="A2" s="33" t="s">
        <v>95</v>
      </c>
      <c r="B2" s="34" t="s">
        <v>94</v>
      </c>
      <c r="C2" s="34"/>
      <c r="D2" s="34"/>
      <c r="E2" s="34"/>
      <c r="F2" s="34"/>
      <c r="G2" s="34"/>
      <c r="H2" s="34"/>
      <c r="I2" s="34"/>
      <c r="J2" s="34"/>
      <c r="K2" s="34"/>
      <c r="L2" s="35"/>
      <c r="M2" s="35"/>
      <c r="N2" s="35"/>
    </row>
    <row r="4" spans="1:14">
      <c r="C4" s="27" t="s">
        <v>9</v>
      </c>
      <c r="D4" s="27" t="s">
        <v>2</v>
      </c>
      <c r="E4" s="27" t="s">
        <v>10</v>
      </c>
    </row>
    <row r="5" spans="1:14">
      <c r="C5" s="28" t="s">
        <v>11</v>
      </c>
      <c r="D5" s="28">
        <v>90</v>
      </c>
      <c r="E5" s="28">
        <v>1000</v>
      </c>
      <c r="G5" s="44"/>
    </row>
    <row r="6" spans="1:14">
      <c r="C6" s="28" t="s">
        <v>12</v>
      </c>
      <c r="D6" s="28">
        <v>150</v>
      </c>
      <c r="E6" s="28">
        <v>1200</v>
      </c>
    </row>
    <row r="7" spans="1:14">
      <c r="C7" s="28" t="s">
        <v>13</v>
      </c>
      <c r="D7" s="28">
        <v>250</v>
      </c>
      <c r="E7" s="28">
        <v>1500</v>
      </c>
    </row>
    <row r="13" spans="1:14">
      <c r="D13" s="5">
        <f>AVERAGEIFS(E5:E7,D5:D7,"&gt;100",D5:D7,"&lt;300")</f>
        <v>1350</v>
      </c>
    </row>
    <row r="15" spans="1:14">
      <c r="B15" s="29" t="s">
        <v>93</v>
      </c>
      <c r="C15" s="30"/>
      <c r="D15" s="30"/>
      <c r="E15" s="30"/>
      <c r="F15" s="30"/>
      <c r="G15" s="30"/>
    </row>
    <row r="16" spans="1:14">
      <c r="B16" s="31" t="s">
        <v>100</v>
      </c>
      <c r="C16" s="32"/>
      <c r="D16" s="32"/>
      <c r="E16" s="32"/>
      <c r="F16" s="32"/>
      <c r="G16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2"/>
  <sheetViews>
    <sheetView zoomScaleNormal="100" workbookViewId="0">
      <selection sqref="A1:G51"/>
    </sheetView>
  </sheetViews>
  <sheetFormatPr defaultRowHeight="14.25"/>
  <cols>
    <col min="1" max="1" width="12.375" customWidth="1"/>
    <col min="2" max="2" width="15.25" customWidth="1"/>
    <col min="4" max="4" width="12.25" customWidth="1"/>
    <col min="7" max="7" width="13.875" customWidth="1"/>
    <col min="9" max="9" width="10.125" customWidth="1"/>
  </cols>
  <sheetData>
    <row r="1" spans="1:14" ht="15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</row>
    <row r="2" spans="1:14" ht="18">
      <c r="A2" s="11">
        <v>1001</v>
      </c>
      <c r="B2" s="12" t="s">
        <v>22</v>
      </c>
      <c r="C2" s="12" t="s">
        <v>23</v>
      </c>
      <c r="D2" s="12" t="s">
        <v>24</v>
      </c>
      <c r="E2" s="11">
        <v>10</v>
      </c>
      <c r="F2" s="11">
        <v>50</v>
      </c>
      <c r="G2" s="13">
        <v>45296</v>
      </c>
      <c r="H2" s="16" t="s">
        <v>82</v>
      </c>
      <c r="I2" s="16"/>
      <c r="J2" s="16"/>
      <c r="K2" s="16"/>
      <c r="L2" s="16"/>
      <c r="M2" s="17"/>
      <c r="N2" s="17"/>
    </row>
    <row r="3" spans="1:14" ht="15">
      <c r="A3" s="11">
        <v>1002</v>
      </c>
      <c r="B3" s="12" t="s">
        <v>25</v>
      </c>
      <c r="C3" s="12" t="s">
        <v>26</v>
      </c>
      <c r="D3" s="12" t="s">
        <v>27</v>
      </c>
      <c r="E3" s="11">
        <v>20</v>
      </c>
      <c r="F3" s="11">
        <v>10</v>
      </c>
      <c r="G3" s="13">
        <v>45297</v>
      </c>
    </row>
    <row r="4" spans="1:14" ht="15">
      <c r="A4" s="11">
        <v>1003</v>
      </c>
      <c r="B4" s="12" t="s">
        <v>28</v>
      </c>
      <c r="C4" s="12" t="s">
        <v>29</v>
      </c>
      <c r="D4" s="12" t="s">
        <v>30</v>
      </c>
      <c r="E4" s="11">
        <v>15</v>
      </c>
      <c r="F4" s="11">
        <v>25</v>
      </c>
      <c r="G4" s="13">
        <v>45298</v>
      </c>
    </row>
    <row r="5" spans="1:14" ht="15">
      <c r="A5" s="11">
        <v>1004</v>
      </c>
      <c r="B5" s="12" t="s">
        <v>31</v>
      </c>
      <c r="C5" s="12" t="s">
        <v>32</v>
      </c>
      <c r="D5" s="12" t="s">
        <v>24</v>
      </c>
      <c r="E5" s="11">
        <v>5</v>
      </c>
      <c r="F5" s="11">
        <v>50</v>
      </c>
      <c r="G5" s="13">
        <v>45299</v>
      </c>
      <c r="I5" t="s">
        <v>81</v>
      </c>
      <c r="J5" s="5">
        <f>COUNTA(B2:B51)</f>
        <v>50</v>
      </c>
    </row>
    <row r="6" spans="1:14" ht="15">
      <c r="A6" s="11">
        <v>1005</v>
      </c>
      <c r="B6" s="12" t="s">
        <v>33</v>
      </c>
      <c r="C6" s="12" t="s">
        <v>23</v>
      </c>
      <c r="D6" s="12" t="s">
        <v>34</v>
      </c>
      <c r="E6" s="11">
        <v>30</v>
      </c>
      <c r="F6" s="11">
        <v>5</v>
      </c>
      <c r="G6" s="13">
        <v>45301</v>
      </c>
    </row>
    <row r="7" spans="1:14" ht="15">
      <c r="A7" s="11">
        <v>1006</v>
      </c>
      <c r="B7" s="12" t="s">
        <v>35</v>
      </c>
      <c r="C7" s="12" t="s">
        <v>26</v>
      </c>
      <c r="D7" s="12" t="s">
        <v>24</v>
      </c>
      <c r="E7" s="11">
        <v>12</v>
      </c>
      <c r="F7" s="11">
        <v>50</v>
      </c>
      <c r="G7" s="13">
        <v>45302</v>
      </c>
    </row>
    <row r="8" spans="1:14" ht="15">
      <c r="A8" s="11">
        <v>1007</v>
      </c>
      <c r="B8" s="12" t="s">
        <v>36</v>
      </c>
      <c r="C8" s="12" t="s">
        <v>29</v>
      </c>
      <c r="D8" s="12" t="s">
        <v>37</v>
      </c>
      <c r="E8" s="11">
        <v>25</v>
      </c>
      <c r="F8" s="11">
        <v>8</v>
      </c>
      <c r="G8" s="13">
        <v>45304</v>
      </c>
      <c r="I8" s="6" t="s">
        <v>14</v>
      </c>
      <c r="J8" s="14" t="s">
        <v>83</v>
      </c>
      <c r="K8" s="14"/>
      <c r="L8" s="14"/>
      <c r="M8" s="14"/>
      <c r="N8" s="14"/>
    </row>
    <row r="9" spans="1:14" ht="15">
      <c r="A9" s="11">
        <v>1008</v>
      </c>
      <c r="B9" s="12" t="s">
        <v>38</v>
      </c>
      <c r="C9" s="12" t="s">
        <v>32</v>
      </c>
      <c r="D9" s="12" t="s">
        <v>27</v>
      </c>
      <c r="E9" s="11">
        <v>18</v>
      </c>
      <c r="F9" s="11">
        <v>10</v>
      </c>
      <c r="G9" s="13">
        <v>45306</v>
      </c>
      <c r="J9" s="14" t="s">
        <v>84</v>
      </c>
      <c r="K9" s="14"/>
      <c r="L9" s="14"/>
      <c r="M9" s="14"/>
      <c r="N9" s="14"/>
    </row>
    <row r="10" spans="1:14" ht="15">
      <c r="A10" s="11">
        <v>1009</v>
      </c>
      <c r="B10" s="12" t="s">
        <v>39</v>
      </c>
      <c r="C10" s="12" t="s">
        <v>23</v>
      </c>
      <c r="D10" s="12" t="s">
        <v>30</v>
      </c>
      <c r="E10" s="11">
        <v>22</v>
      </c>
      <c r="F10" s="11">
        <v>25</v>
      </c>
      <c r="G10" s="13">
        <v>45308</v>
      </c>
    </row>
    <row r="11" spans="1:14" ht="15">
      <c r="A11" s="11">
        <v>1010</v>
      </c>
      <c r="B11" s="12" t="s">
        <v>40</v>
      </c>
      <c r="C11" s="12" t="s">
        <v>26</v>
      </c>
      <c r="D11" s="12" t="s">
        <v>24</v>
      </c>
      <c r="E11" s="11">
        <v>8</v>
      </c>
      <c r="F11" s="11">
        <v>50</v>
      </c>
      <c r="G11" s="13">
        <v>45309</v>
      </c>
    </row>
    <row r="12" spans="1:14" ht="15">
      <c r="A12" s="11">
        <v>1011</v>
      </c>
      <c r="B12" s="12" t="s">
        <v>41</v>
      </c>
      <c r="C12" s="12" t="s">
        <v>29</v>
      </c>
      <c r="D12" s="12" t="s">
        <v>34</v>
      </c>
      <c r="E12" s="11">
        <v>40</v>
      </c>
      <c r="F12" s="11">
        <v>5</v>
      </c>
      <c r="G12" s="13">
        <v>45310</v>
      </c>
    </row>
    <row r="13" spans="1:14" ht="15">
      <c r="A13" s="11">
        <v>1012</v>
      </c>
      <c r="B13" s="12" t="s">
        <v>42</v>
      </c>
      <c r="C13" s="12" t="s">
        <v>32</v>
      </c>
      <c r="D13" s="12" t="s">
        <v>37</v>
      </c>
      <c r="E13" s="11">
        <v>35</v>
      </c>
      <c r="F13" s="11">
        <v>8</v>
      </c>
      <c r="G13" s="13">
        <v>45311</v>
      </c>
    </row>
    <row r="14" spans="1:14" ht="15">
      <c r="A14" s="11">
        <v>1013</v>
      </c>
      <c r="B14" s="12" t="s">
        <v>43</v>
      </c>
      <c r="C14" s="12" t="s">
        <v>23</v>
      </c>
      <c r="D14" s="12" t="s">
        <v>24</v>
      </c>
      <c r="E14" s="11">
        <v>14</v>
      </c>
      <c r="F14" s="11">
        <v>50</v>
      </c>
      <c r="G14" s="13">
        <v>45313</v>
      </c>
    </row>
    <row r="15" spans="1:14" ht="15">
      <c r="A15" s="11">
        <v>1014</v>
      </c>
      <c r="B15" s="12" t="s">
        <v>44</v>
      </c>
      <c r="C15" s="12" t="s">
        <v>26</v>
      </c>
      <c r="D15" s="12" t="s">
        <v>27</v>
      </c>
      <c r="E15" s="11">
        <v>28</v>
      </c>
      <c r="F15" s="11">
        <v>10</v>
      </c>
      <c r="G15" s="13">
        <v>45314</v>
      </c>
    </row>
    <row r="16" spans="1:14" ht="15">
      <c r="A16" s="11">
        <v>1015</v>
      </c>
      <c r="B16" s="12" t="s">
        <v>45</v>
      </c>
      <c r="C16" s="12" t="s">
        <v>29</v>
      </c>
      <c r="D16" s="12" t="s">
        <v>30</v>
      </c>
      <c r="E16" s="11">
        <v>12</v>
      </c>
      <c r="F16" s="11">
        <v>25</v>
      </c>
      <c r="G16" s="13">
        <v>45315</v>
      </c>
    </row>
    <row r="17" spans="1:7" ht="15">
      <c r="A17" s="11">
        <v>1016</v>
      </c>
      <c r="B17" s="12" t="s">
        <v>46</v>
      </c>
      <c r="C17" s="12" t="s">
        <v>32</v>
      </c>
      <c r="D17" s="12" t="s">
        <v>34</v>
      </c>
      <c r="E17" s="11">
        <v>25</v>
      </c>
      <c r="F17" s="11">
        <v>5</v>
      </c>
      <c r="G17" s="13">
        <v>45317</v>
      </c>
    </row>
    <row r="18" spans="1:7" ht="15">
      <c r="A18" s="11">
        <v>1017</v>
      </c>
      <c r="B18" s="12" t="s">
        <v>47</v>
      </c>
      <c r="C18" s="12" t="s">
        <v>23</v>
      </c>
      <c r="D18" s="12" t="s">
        <v>37</v>
      </c>
      <c r="E18" s="11">
        <v>20</v>
      </c>
      <c r="F18" s="11">
        <v>8</v>
      </c>
      <c r="G18" s="13">
        <v>45319</v>
      </c>
    </row>
    <row r="19" spans="1:7" ht="15">
      <c r="A19" s="11">
        <v>1018</v>
      </c>
      <c r="B19" s="12" t="s">
        <v>48</v>
      </c>
      <c r="C19" s="12" t="s">
        <v>26</v>
      </c>
      <c r="D19" s="12" t="s">
        <v>24</v>
      </c>
      <c r="E19" s="11">
        <v>10</v>
      </c>
      <c r="F19" s="11">
        <v>50</v>
      </c>
      <c r="G19" s="13">
        <v>45320</v>
      </c>
    </row>
    <row r="20" spans="1:7" ht="15">
      <c r="A20" s="11">
        <v>1019</v>
      </c>
      <c r="B20" s="12" t="s">
        <v>49</v>
      </c>
      <c r="C20" s="12" t="s">
        <v>29</v>
      </c>
      <c r="D20" s="12" t="s">
        <v>27</v>
      </c>
      <c r="E20" s="11">
        <v>15</v>
      </c>
      <c r="F20" s="11">
        <v>10</v>
      </c>
      <c r="G20" s="13">
        <v>45321</v>
      </c>
    </row>
    <row r="21" spans="1:7" ht="15">
      <c r="A21" s="11">
        <v>1020</v>
      </c>
      <c r="B21" s="12" t="s">
        <v>50</v>
      </c>
      <c r="C21" s="12" t="s">
        <v>32</v>
      </c>
      <c r="D21" s="12" t="s">
        <v>30</v>
      </c>
      <c r="E21" s="11">
        <v>18</v>
      </c>
      <c r="F21" s="11">
        <v>25</v>
      </c>
      <c r="G21" s="13">
        <v>45323</v>
      </c>
    </row>
    <row r="22" spans="1:7" ht="15">
      <c r="A22" s="11">
        <v>1021</v>
      </c>
      <c r="B22" s="12" t="s">
        <v>51</v>
      </c>
      <c r="C22" s="12" t="s">
        <v>23</v>
      </c>
      <c r="D22" s="12" t="s">
        <v>24</v>
      </c>
      <c r="E22" s="11">
        <v>9</v>
      </c>
      <c r="F22" s="11">
        <v>50</v>
      </c>
      <c r="G22" s="13">
        <v>45324</v>
      </c>
    </row>
    <row r="23" spans="1:7" ht="15">
      <c r="A23" s="11">
        <v>1022</v>
      </c>
      <c r="B23" s="12" t="s">
        <v>52</v>
      </c>
      <c r="C23" s="12" t="s">
        <v>26</v>
      </c>
      <c r="D23" s="12" t="s">
        <v>34</v>
      </c>
      <c r="E23" s="11">
        <v>35</v>
      </c>
      <c r="F23" s="11">
        <v>5</v>
      </c>
      <c r="G23" s="13">
        <v>45325</v>
      </c>
    </row>
    <row r="24" spans="1:7" ht="15">
      <c r="A24" s="11">
        <v>1023</v>
      </c>
      <c r="B24" s="12" t="s">
        <v>53</v>
      </c>
      <c r="C24" s="12" t="s">
        <v>29</v>
      </c>
      <c r="D24" s="12" t="s">
        <v>37</v>
      </c>
      <c r="E24" s="11">
        <v>30</v>
      </c>
      <c r="F24" s="11">
        <v>8</v>
      </c>
      <c r="G24" s="13">
        <v>45326</v>
      </c>
    </row>
    <row r="25" spans="1:7" ht="15">
      <c r="A25" s="11">
        <v>1024</v>
      </c>
      <c r="B25" s="12" t="s">
        <v>54</v>
      </c>
      <c r="C25" s="12" t="s">
        <v>32</v>
      </c>
      <c r="D25" s="12" t="s">
        <v>24</v>
      </c>
      <c r="E25" s="11">
        <v>11</v>
      </c>
      <c r="F25" s="11">
        <v>50</v>
      </c>
      <c r="G25" s="13">
        <v>45328</v>
      </c>
    </row>
    <row r="26" spans="1:7" ht="15">
      <c r="A26" s="11">
        <v>1025</v>
      </c>
      <c r="B26" s="12" t="s">
        <v>55</v>
      </c>
      <c r="C26" s="12" t="s">
        <v>23</v>
      </c>
      <c r="D26" s="12" t="s">
        <v>27</v>
      </c>
      <c r="E26" s="11">
        <v>14</v>
      </c>
      <c r="F26" s="11">
        <v>10</v>
      </c>
      <c r="G26" s="13">
        <v>45329</v>
      </c>
    </row>
    <row r="27" spans="1:7" ht="15">
      <c r="A27" s="11">
        <v>1026</v>
      </c>
      <c r="B27" s="12" t="s">
        <v>56</v>
      </c>
      <c r="C27" s="12" t="s">
        <v>26</v>
      </c>
      <c r="D27" s="12" t="s">
        <v>30</v>
      </c>
      <c r="E27" s="11">
        <v>16</v>
      </c>
      <c r="F27" s="11">
        <v>25</v>
      </c>
      <c r="G27" s="13">
        <v>45330</v>
      </c>
    </row>
    <row r="28" spans="1:7" ht="15">
      <c r="A28" s="11">
        <v>1027</v>
      </c>
      <c r="B28" s="12" t="s">
        <v>57</v>
      </c>
      <c r="C28" s="12" t="s">
        <v>29</v>
      </c>
      <c r="D28" s="12" t="s">
        <v>34</v>
      </c>
      <c r="E28" s="11">
        <v>22</v>
      </c>
      <c r="F28" s="11">
        <v>5</v>
      </c>
      <c r="G28" s="13">
        <v>45331</v>
      </c>
    </row>
    <row r="29" spans="1:7" ht="15">
      <c r="A29" s="11">
        <v>1028</v>
      </c>
      <c r="B29" s="12" t="s">
        <v>58</v>
      </c>
      <c r="C29" s="12" t="s">
        <v>32</v>
      </c>
      <c r="D29" s="12" t="s">
        <v>37</v>
      </c>
      <c r="E29" s="11">
        <v>27</v>
      </c>
      <c r="F29" s="11">
        <v>8</v>
      </c>
      <c r="G29" s="13">
        <v>45332</v>
      </c>
    </row>
    <row r="30" spans="1:7" ht="15">
      <c r="A30" s="11">
        <v>1029</v>
      </c>
      <c r="B30" s="12" t="s">
        <v>59</v>
      </c>
      <c r="C30" s="12" t="s">
        <v>23</v>
      </c>
      <c r="D30" s="12" t="s">
        <v>24</v>
      </c>
      <c r="E30" s="11">
        <v>13</v>
      </c>
      <c r="F30" s="11">
        <v>50</v>
      </c>
      <c r="G30" s="13">
        <v>45334</v>
      </c>
    </row>
    <row r="31" spans="1:7" ht="15">
      <c r="A31" s="11">
        <v>1030</v>
      </c>
      <c r="B31" s="12" t="s">
        <v>60</v>
      </c>
      <c r="C31" s="12" t="s">
        <v>26</v>
      </c>
      <c r="D31" s="12" t="s">
        <v>27</v>
      </c>
      <c r="E31" s="11">
        <v>32</v>
      </c>
      <c r="F31" s="11">
        <v>10</v>
      </c>
      <c r="G31" s="13">
        <v>45335</v>
      </c>
    </row>
    <row r="32" spans="1:7" ht="15">
      <c r="A32" s="11">
        <v>1031</v>
      </c>
      <c r="B32" s="12" t="s">
        <v>61</v>
      </c>
      <c r="C32" s="12" t="s">
        <v>29</v>
      </c>
      <c r="D32" s="12" t="s">
        <v>30</v>
      </c>
      <c r="E32" s="11">
        <v>10</v>
      </c>
      <c r="F32" s="11">
        <v>25</v>
      </c>
      <c r="G32" s="13">
        <v>45336</v>
      </c>
    </row>
    <row r="33" spans="1:7" ht="15">
      <c r="A33" s="11">
        <v>1032</v>
      </c>
      <c r="B33" s="12" t="s">
        <v>62</v>
      </c>
      <c r="C33" s="12" t="s">
        <v>32</v>
      </c>
      <c r="D33" s="12" t="s">
        <v>34</v>
      </c>
      <c r="E33" s="11">
        <v>18</v>
      </c>
      <c r="F33" s="11">
        <v>5</v>
      </c>
      <c r="G33" s="13">
        <v>45338</v>
      </c>
    </row>
    <row r="34" spans="1:7" ht="15">
      <c r="A34" s="11">
        <v>1033</v>
      </c>
      <c r="B34" s="12" t="s">
        <v>63</v>
      </c>
      <c r="C34" s="12" t="s">
        <v>23</v>
      </c>
      <c r="D34" s="12" t="s">
        <v>37</v>
      </c>
      <c r="E34" s="11">
        <v>22</v>
      </c>
      <c r="F34" s="11">
        <v>8</v>
      </c>
      <c r="G34" s="13">
        <v>45339</v>
      </c>
    </row>
    <row r="35" spans="1:7" ht="15">
      <c r="A35" s="11">
        <v>1034</v>
      </c>
      <c r="B35" s="12" t="s">
        <v>64</v>
      </c>
      <c r="C35" s="12" t="s">
        <v>26</v>
      </c>
      <c r="D35" s="12" t="s">
        <v>24</v>
      </c>
      <c r="E35" s="11">
        <v>17</v>
      </c>
      <c r="F35" s="11">
        <v>50</v>
      </c>
      <c r="G35" s="13">
        <v>45340</v>
      </c>
    </row>
    <row r="36" spans="1:7" ht="15">
      <c r="A36" s="11">
        <v>1035</v>
      </c>
      <c r="B36" s="12" t="s">
        <v>65</v>
      </c>
      <c r="C36" s="12" t="s">
        <v>29</v>
      </c>
      <c r="D36" s="12" t="s">
        <v>27</v>
      </c>
      <c r="E36" s="11">
        <v>19</v>
      </c>
      <c r="F36" s="11">
        <v>10</v>
      </c>
      <c r="G36" s="13">
        <v>45341</v>
      </c>
    </row>
    <row r="37" spans="1:7" ht="15">
      <c r="A37" s="11">
        <v>1036</v>
      </c>
      <c r="B37" s="12" t="s">
        <v>66</v>
      </c>
      <c r="C37" s="12" t="s">
        <v>32</v>
      </c>
      <c r="D37" s="12" t="s">
        <v>30</v>
      </c>
      <c r="E37" s="11">
        <v>15</v>
      </c>
      <c r="F37" s="11">
        <v>25</v>
      </c>
      <c r="G37" s="13">
        <v>45343</v>
      </c>
    </row>
    <row r="38" spans="1:7" ht="15">
      <c r="A38" s="11">
        <v>1037</v>
      </c>
      <c r="B38" s="12" t="s">
        <v>67</v>
      </c>
      <c r="C38" s="12" t="s">
        <v>23</v>
      </c>
      <c r="D38" s="12" t="s">
        <v>34</v>
      </c>
      <c r="E38" s="11">
        <v>28</v>
      </c>
      <c r="F38" s="11">
        <v>5</v>
      </c>
      <c r="G38" s="13">
        <v>45344</v>
      </c>
    </row>
    <row r="39" spans="1:7" ht="15">
      <c r="A39" s="11">
        <v>1038</v>
      </c>
      <c r="B39" s="12" t="s">
        <v>68</v>
      </c>
      <c r="C39" s="12" t="s">
        <v>26</v>
      </c>
      <c r="D39" s="12" t="s">
        <v>37</v>
      </c>
      <c r="E39" s="11">
        <v>24</v>
      </c>
      <c r="F39" s="11">
        <v>8</v>
      </c>
      <c r="G39" s="13">
        <v>45345</v>
      </c>
    </row>
    <row r="40" spans="1:7" ht="15">
      <c r="A40" s="11">
        <v>1039</v>
      </c>
      <c r="B40" s="12" t="s">
        <v>69</v>
      </c>
      <c r="C40" s="12" t="s">
        <v>29</v>
      </c>
      <c r="D40" s="12" t="s">
        <v>24</v>
      </c>
      <c r="E40" s="11">
        <v>16</v>
      </c>
      <c r="F40" s="11">
        <v>50</v>
      </c>
      <c r="G40" s="13">
        <v>45347</v>
      </c>
    </row>
    <row r="41" spans="1:7" ht="15">
      <c r="A41" s="11">
        <v>1040</v>
      </c>
      <c r="B41" s="12" t="s">
        <v>70</v>
      </c>
      <c r="C41" s="12" t="s">
        <v>32</v>
      </c>
      <c r="D41" s="12" t="s">
        <v>27</v>
      </c>
      <c r="E41" s="11">
        <v>27</v>
      </c>
      <c r="F41" s="11">
        <v>10</v>
      </c>
      <c r="G41" s="13">
        <v>45348</v>
      </c>
    </row>
    <row r="42" spans="1:7" ht="15">
      <c r="A42" s="11">
        <v>1041</v>
      </c>
      <c r="B42" s="12" t="s">
        <v>71</v>
      </c>
      <c r="C42" s="12" t="s">
        <v>23</v>
      </c>
      <c r="D42" s="12" t="s">
        <v>30</v>
      </c>
      <c r="E42" s="11">
        <v>21</v>
      </c>
      <c r="F42" s="11">
        <v>25</v>
      </c>
      <c r="G42" s="13">
        <v>45349</v>
      </c>
    </row>
    <row r="43" spans="1:7" ht="15">
      <c r="A43" s="11">
        <v>1042</v>
      </c>
      <c r="B43" s="12" t="s">
        <v>72</v>
      </c>
      <c r="C43" s="12" t="s">
        <v>26</v>
      </c>
      <c r="D43" s="12" t="s">
        <v>34</v>
      </c>
      <c r="E43" s="11">
        <v>30</v>
      </c>
      <c r="F43" s="11">
        <v>5</v>
      </c>
      <c r="G43" s="13">
        <v>45350</v>
      </c>
    </row>
    <row r="44" spans="1:7" ht="15">
      <c r="A44" s="11">
        <v>1043</v>
      </c>
      <c r="B44" s="12" t="s">
        <v>73</v>
      </c>
      <c r="C44" s="12" t="s">
        <v>29</v>
      </c>
      <c r="D44" s="12" t="s">
        <v>37</v>
      </c>
      <c r="E44" s="11">
        <v>26</v>
      </c>
      <c r="F44" s="11">
        <v>8</v>
      </c>
      <c r="G44" s="13">
        <v>45352</v>
      </c>
    </row>
    <row r="45" spans="1:7" ht="15">
      <c r="A45" s="11">
        <v>1044</v>
      </c>
      <c r="B45" s="12" t="s">
        <v>74</v>
      </c>
      <c r="C45" s="12" t="s">
        <v>32</v>
      </c>
      <c r="D45" s="12" t="s">
        <v>24</v>
      </c>
      <c r="E45" s="11">
        <v>14</v>
      </c>
      <c r="F45" s="11">
        <v>50</v>
      </c>
      <c r="G45" s="13">
        <v>45353</v>
      </c>
    </row>
    <row r="46" spans="1:7" ht="15">
      <c r="A46" s="11">
        <v>1045</v>
      </c>
      <c r="B46" s="12" t="s">
        <v>75</v>
      </c>
      <c r="C46" s="12" t="s">
        <v>23</v>
      </c>
      <c r="D46" s="12" t="s">
        <v>27</v>
      </c>
      <c r="E46" s="11">
        <v>20</v>
      </c>
      <c r="F46" s="11">
        <v>10</v>
      </c>
      <c r="G46" s="13">
        <v>45354</v>
      </c>
    </row>
    <row r="47" spans="1:7" ht="15">
      <c r="A47" s="11">
        <v>1046</v>
      </c>
      <c r="B47" s="12" t="s">
        <v>76</v>
      </c>
      <c r="C47" s="12" t="s">
        <v>26</v>
      </c>
      <c r="D47" s="12" t="s">
        <v>30</v>
      </c>
      <c r="E47" s="11">
        <v>17</v>
      </c>
      <c r="F47" s="11">
        <v>25</v>
      </c>
      <c r="G47" s="13">
        <v>45355</v>
      </c>
    </row>
    <row r="48" spans="1:7" ht="15">
      <c r="A48" s="11">
        <v>1047</v>
      </c>
      <c r="B48" s="12" t="s">
        <v>77</v>
      </c>
      <c r="C48" s="12" t="s">
        <v>29</v>
      </c>
      <c r="D48" s="12" t="s">
        <v>34</v>
      </c>
      <c r="E48" s="11">
        <v>19</v>
      </c>
      <c r="F48" s="11">
        <v>5</v>
      </c>
      <c r="G48" s="13">
        <v>45356</v>
      </c>
    </row>
    <row r="49" spans="1:7" ht="15">
      <c r="A49" s="11">
        <v>1048</v>
      </c>
      <c r="B49" s="12" t="s">
        <v>78</v>
      </c>
      <c r="C49" s="12" t="s">
        <v>32</v>
      </c>
      <c r="D49" s="12" t="s">
        <v>37</v>
      </c>
      <c r="E49" s="11">
        <v>32</v>
      </c>
      <c r="F49" s="11">
        <v>8</v>
      </c>
      <c r="G49" s="13">
        <v>45357</v>
      </c>
    </row>
    <row r="50" spans="1:7" ht="15">
      <c r="A50" s="11">
        <v>1049</v>
      </c>
      <c r="B50" s="12" t="s">
        <v>79</v>
      </c>
      <c r="C50" s="12" t="s">
        <v>23</v>
      </c>
      <c r="D50" s="12" t="s">
        <v>24</v>
      </c>
      <c r="E50" s="11">
        <v>12</v>
      </c>
      <c r="F50" s="11">
        <v>50</v>
      </c>
      <c r="G50" s="13">
        <v>45358</v>
      </c>
    </row>
    <row r="51" spans="1:7" ht="15">
      <c r="A51" s="11">
        <v>1050</v>
      </c>
      <c r="B51" s="12" t="s">
        <v>80</v>
      </c>
      <c r="C51" s="12" t="s">
        <v>26</v>
      </c>
      <c r="D51" s="12" t="s">
        <v>27</v>
      </c>
      <c r="E51" s="11">
        <v>25</v>
      </c>
      <c r="F51" s="11">
        <v>10</v>
      </c>
      <c r="G51" s="13">
        <v>45359</v>
      </c>
    </row>
    <row r="52" spans="1:7" ht="15" thickBot="1">
      <c r="A52" s="9"/>
      <c r="B52" s="9"/>
      <c r="C52" s="9"/>
      <c r="D52" s="9"/>
      <c r="E52" s="9"/>
      <c r="F52" s="9"/>
      <c r="G52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N54"/>
  <sheetViews>
    <sheetView zoomScaleNormal="100" workbookViewId="0">
      <selection activeCell="K7" sqref="K7"/>
    </sheetView>
  </sheetViews>
  <sheetFormatPr defaultRowHeight="14.25"/>
  <cols>
    <col min="1" max="1" width="13.375" customWidth="1"/>
    <col min="2" max="2" width="15" customWidth="1"/>
    <col min="3" max="3" width="12.25" customWidth="1"/>
    <col min="4" max="4" width="13.875" customWidth="1"/>
    <col min="7" max="7" width="14.375" customWidth="1"/>
    <col min="9" max="9" width="11.625" customWidth="1"/>
    <col min="11" max="11" width="10.25" customWidth="1"/>
  </cols>
  <sheetData>
    <row r="2" spans="1:14" ht="18">
      <c r="B2" s="15" t="s">
        <v>85</v>
      </c>
      <c r="C2" s="15"/>
      <c r="D2" s="15"/>
      <c r="E2" s="15"/>
      <c r="F2" s="15"/>
      <c r="G2" s="15"/>
      <c r="H2" s="7"/>
    </row>
    <row r="4" spans="1:14" ht="15">
      <c r="A4" s="10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I4" s="18" t="s">
        <v>86</v>
      </c>
    </row>
    <row r="5" spans="1:14" ht="15">
      <c r="A5" s="11">
        <v>1001</v>
      </c>
      <c r="B5" s="12" t="s">
        <v>22</v>
      </c>
      <c r="C5" s="12" t="s">
        <v>23</v>
      </c>
      <c r="D5" s="12" t="s">
        <v>24</v>
      </c>
      <c r="E5" s="11">
        <v>10</v>
      </c>
      <c r="F5" s="11">
        <v>50</v>
      </c>
      <c r="G5" s="13">
        <v>45296</v>
      </c>
      <c r="I5" s="19">
        <f>PRODUCT(E5:F5)</f>
        <v>500</v>
      </c>
    </row>
    <row r="6" spans="1:14" ht="15">
      <c r="A6" s="11">
        <v>1002</v>
      </c>
      <c r="B6" s="12" t="s">
        <v>25</v>
      </c>
      <c r="C6" s="12" t="s">
        <v>26</v>
      </c>
      <c r="D6" s="12" t="s">
        <v>27</v>
      </c>
      <c r="E6" s="11">
        <v>20</v>
      </c>
      <c r="F6" s="11">
        <v>10</v>
      </c>
      <c r="G6" s="13">
        <v>45297</v>
      </c>
      <c r="I6" s="19">
        <v>200</v>
      </c>
    </row>
    <row r="7" spans="1:14" ht="15">
      <c r="A7" s="11">
        <v>1003</v>
      </c>
      <c r="B7" s="12" t="s">
        <v>28</v>
      </c>
      <c r="C7" s="12" t="s">
        <v>29</v>
      </c>
      <c r="D7" s="12" t="s">
        <v>30</v>
      </c>
      <c r="E7" s="11">
        <v>15</v>
      </c>
      <c r="F7" s="11">
        <v>25</v>
      </c>
      <c r="G7" s="13">
        <v>45298</v>
      </c>
      <c r="I7" s="19">
        <v>375</v>
      </c>
      <c r="K7" s="20" t="s">
        <v>99</v>
      </c>
      <c r="L7" s="21"/>
      <c r="M7" s="21"/>
      <c r="N7" s="22"/>
    </row>
    <row r="8" spans="1:14" ht="15">
      <c r="A8" s="11">
        <v>1004</v>
      </c>
      <c r="B8" s="12" t="s">
        <v>31</v>
      </c>
      <c r="C8" s="12" t="s">
        <v>32</v>
      </c>
      <c r="D8" s="12" t="s">
        <v>24</v>
      </c>
      <c r="E8" s="11">
        <v>5</v>
      </c>
      <c r="F8" s="11">
        <v>50</v>
      </c>
      <c r="G8" s="13">
        <v>45299</v>
      </c>
      <c r="I8" s="19">
        <v>250</v>
      </c>
    </row>
    <row r="9" spans="1:14" ht="15">
      <c r="A9" s="11">
        <v>1005</v>
      </c>
      <c r="B9" s="12" t="s">
        <v>33</v>
      </c>
      <c r="C9" s="12" t="s">
        <v>23</v>
      </c>
      <c r="D9" s="12" t="s">
        <v>34</v>
      </c>
      <c r="E9" s="11">
        <v>30</v>
      </c>
      <c r="F9" s="11">
        <v>5</v>
      </c>
      <c r="G9" s="13">
        <v>45301</v>
      </c>
      <c r="I9" s="19">
        <v>150</v>
      </c>
    </row>
    <row r="10" spans="1:14" ht="15">
      <c r="A10" s="11">
        <v>1006</v>
      </c>
      <c r="B10" s="12" t="s">
        <v>35</v>
      </c>
      <c r="C10" s="12" t="s">
        <v>26</v>
      </c>
      <c r="D10" s="12" t="s">
        <v>24</v>
      </c>
      <c r="E10" s="11">
        <v>12</v>
      </c>
      <c r="F10" s="11">
        <v>50</v>
      </c>
      <c r="G10" s="13">
        <v>45302</v>
      </c>
      <c r="I10" s="19">
        <v>600</v>
      </c>
    </row>
    <row r="11" spans="1:14" ht="15">
      <c r="A11" s="11">
        <v>1007</v>
      </c>
      <c r="B11" s="12" t="s">
        <v>36</v>
      </c>
      <c r="C11" s="12" t="s">
        <v>29</v>
      </c>
      <c r="D11" s="12" t="s">
        <v>37</v>
      </c>
      <c r="E11" s="11">
        <v>25</v>
      </c>
      <c r="F11" s="11">
        <v>8</v>
      </c>
      <c r="G11" s="13">
        <v>45304</v>
      </c>
      <c r="I11" s="19">
        <v>200</v>
      </c>
    </row>
    <row r="12" spans="1:14" ht="15">
      <c r="A12" s="11">
        <v>1008</v>
      </c>
      <c r="B12" s="12" t="s">
        <v>38</v>
      </c>
      <c r="C12" s="12" t="s">
        <v>32</v>
      </c>
      <c r="D12" s="12" t="s">
        <v>27</v>
      </c>
      <c r="E12" s="11">
        <v>18</v>
      </c>
      <c r="F12" s="11">
        <v>10</v>
      </c>
      <c r="G12" s="13">
        <v>45306</v>
      </c>
      <c r="I12" s="19">
        <v>180</v>
      </c>
    </row>
    <row r="13" spans="1:14" ht="15">
      <c r="A13" s="11">
        <v>1009</v>
      </c>
      <c r="B13" s="12" t="s">
        <v>39</v>
      </c>
      <c r="C13" s="12" t="s">
        <v>23</v>
      </c>
      <c r="D13" s="12" t="s">
        <v>30</v>
      </c>
      <c r="E13" s="11">
        <v>22</v>
      </c>
      <c r="F13" s="11">
        <v>25</v>
      </c>
      <c r="G13" s="13">
        <v>45308</v>
      </c>
      <c r="I13" s="19">
        <v>550</v>
      </c>
    </row>
    <row r="14" spans="1:14" ht="15">
      <c r="A14" s="11">
        <v>1010</v>
      </c>
      <c r="B14" s="12" t="s">
        <v>40</v>
      </c>
      <c r="C14" s="12" t="s">
        <v>26</v>
      </c>
      <c r="D14" s="12" t="s">
        <v>24</v>
      </c>
      <c r="E14" s="11">
        <v>8</v>
      </c>
      <c r="F14" s="11">
        <v>50</v>
      </c>
      <c r="G14" s="13">
        <v>45309</v>
      </c>
      <c r="I14" s="19">
        <v>400</v>
      </c>
    </row>
    <row r="15" spans="1:14" ht="15">
      <c r="A15" s="11">
        <v>1011</v>
      </c>
      <c r="B15" s="12" t="s">
        <v>41</v>
      </c>
      <c r="C15" s="12" t="s">
        <v>29</v>
      </c>
      <c r="D15" s="12" t="s">
        <v>34</v>
      </c>
      <c r="E15" s="11">
        <v>40</v>
      </c>
      <c r="F15" s="11">
        <v>5</v>
      </c>
      <c r="G15" s="13">
        <v>45310</v>
      </c>
      <c r="I15" s="19">
        <v>200</v>
      </c>
    </row>
    <row r="16" spans="1:14" ht="15">
      <c r="A16" s="11">
        <v>1012</v>
      </c>
      <c r="B16" s="12" t="s">
        <v>42</v>
      </c>
      <c r="C16" s="12" t="s">
        <v>32</v>
      </c>
      <c r="D16" s="12" t="s">
        <v>37</v>
      </c>
      <c r="E16" s="11">
        <v>35</v>
      </c>
      <c r="F16" s="11">
        <v>8</v>
      </c>
      <c r="G16" s="13">
        <v>45311</v>
      </c>
      <c r="I16" s="19">
        <v>28</v>
      </c>
    </row>
    <row r="17" spans="1:9" ht="15">
      <c r="A17" s="11">
        <v>1013</v>
      </c>
      <c r="B17" s="12" t="s">
        <v>43</v>
      </c>
      <c r="C17" s="12" t="s">
        <v>23</v>
      </c>
      <c r="D17" s="12" t="s">
        <v>24</v>
      </c>
      <c r="E17" s="11">
        <v>14</v>
      </c>
      <c r="F17" s="11">
        <v>50</v>
      </c>
      <c r="G17" s="13">
        <v>45313</v>
      </c>
      <c r="I17" s="19">
        <v>700</v>
      </c>
    </row>
    <row r="18" spans="1:9" ht="15">
      <c r="A18" s="11">
        <v>1014</v>
      </c>
      <c r="B18" s="12" t="s">
        <v>44</v>
      </c>
      <c r="C18" s="12" t="s">
        <v>26</v>
      </c>
      <c r="D18" s="12" t="s">
        <v>27</v>
      </c>
      <c r="E18" s="11">
        <v>28</v>
      </c>
      <c r="F18" s="11">
        <v>10</v>
      </c>
      <c r="G18" s="13">
        <v>45314</v>
      </c>
      <c r="I18" s="19">
        <v>280</v>
      </c>
    </row>
    <row r="19" spans="1:9" ht="15">
      <c r="A19" s="11">
        <v>1015</v>
      </c>
      <c r="B19" s="12" t="s">
        <v>45</v>
      </c>
      <c r="C19" s="12" t="s">
        <v>29</v>
      </c>
      <c r="D19" s="12" t="s">
        <v>30</v>
      </c>
      <c r="E19" s="11">
        <v>12</v>
      </c>
      <c r="F19" s="11">
        <v>25</v>
      </c>
      <c r="G19" s="13">
        <v>45315</v>
      </c>
      <c r="I19" s="19">
        <v>300</v>
      </c>
    </row>
    <row r="20" spans="1:9" ht="15">
      <c r="A20" s="11">
        <v>1016</v>
      </c>
      <c r="B20" s="12" t="s">
        <v>46</v>
      </c>
      <c r="C20" s="12" t="s">
        <v>32</v>
      </c>
      <c r="D20" s="12" t="s">
        <v>34</v>
      </c>
      <c r="E20" s="11">
        <v>25</v>
      </c>
      <c r="F20" s="11">
        <v>5</v>
      </c>
      <c r="G20" s="13">
        <v>45317</v>
      </c>
      <c r="I20" s="19">
        <v>125</v>
      </c>
    </row>
    <row r="21" spans="1:9" ht="15">
      <c r="A21" s="11">
        <v>1017</v>
      </c>
      <c r="B21" s="12" t="s">
        <v>47</v>
      </c>
      <c r="C21" s="12" t="s">
        <v>23</v>
      </c>
      <c r="D21" s="12" t="s">
        <v>37</v>
      </c>
      <c r="E21" s="11">
        <v>20</v>
      </c>
      <c r="F21" s="11">
        <v>8</v>
      </c>
      <c r="G21" s="13">
        <v>45319</v>
      </c>
      <c r="I21" s="19">
        <v>160</v>
      </c>
    </row>
    <row r="22" spans="1:9" ht="15">
      <c r="A22" s="11">
        <v>1018</v>
      </c>
      <c r="B22" s="12" t="s">
        <v>48</v>
      </c>
      <c r="C22" s="12" t="s">
        <v>26</v>
      </c>
      <c r="D22" s="12" t="s">
        <v>24</v>
      </c>
      <c r="E22" s="11">
        <v>10</v>
      </c>
      <c r="F22" s="11">
        <v>50</v>
      </c>
      <c r="G22" s="13">
        <v>45320</v>
      </c>
      <c r="I22" s="19">
        <v>500</v>
      </c>
    </row>
    <row r="23" spans="1:9" ht="15">
      <c r="A23" s="11">
        <v>1019</v>
      </c>
      <c r="B23" s="12" t="s">
        <v>49</v>
      </c>
      <c r="C23" s="12" t="s">
        <v>29</v>
      </c>
      <c r="D23" s="12" t="s">
        <v>27</v>
      </c>
      <c r="E23" s="11">
        <v>15</v>
      </c>
      <c r="F23" s="11">
        <v>10</v>
      </c>
      <c r="G23" s="13">
        <v>45321</v>
      </c>
      <c r="I23" s="19">
        <v>150</v>
      </c>
    </row>
    <row r="24" spans="1:9" ht="15">
      <c r="A24" s="11">
        <v>1020</v>
      </c>
      <c r="B24" s="12" t="s">
        <v>50</v>
      </c>
      <c r="C24" s="12" t="s">
        <v>32</v>
      </c>
      <c r="D24" s="12" t="s">
        <v>30</v>
      </c>
      <c r="E24" s="11">
        <v>18</v>
      </c>
      <c r="F24" s="11">
        <v>25</v>
      </c>
      <c r="G24" s="13">
        <v>45323</v>
      </c>
      <c r="I24" s="19">
        <f>PRODUCT(E24,F24)</f>
        <v>450</v>
      </c>
    </row>
    <row r="25" spans="1:9" ht="15">
      <c r="A25" s="11">
        <v>1021</v>
      </c>
      <c r="B25" s="12" t="s">
        <v>51</v>
      </c>
      <c r="C25" s="12" t="s">
        <v>23</v>
      </c>
      <c r="D25" s="12" t="s">
        <v>24</v>
      </c>
      <c r="E25" s="11">
        <v>9</v>
      </c>
      <c r="F25" s="11">
        <v>50</v>
      </c>
      <c r="G25" s="13">
        <v>45324</v>
      </c>
      <c r="I25" s="19">
        <v>450</v>
      </c>
    </row>
    <row r="26" spans="1:9" ht="15">
      <c r="A26" s="11">
        <v>1022</v>
      </c>
      <c r="B26" s="12" t="s">
        <v>52</v>
      </c>
      <c r="C26" s="12" t="s">
        <v>26</v>
      </c>
      <c r="D26" s="12" t="s">
        <v>34</v>
      </c>
      <c r="E26" s="11">
        <v>35</v>
      </c>
      <c r="F26" s="11">
        <v>5</v>
      </c>
      <c r="G26" s="13">
        <v>45325</v>
      </c>
      <c r="I26" s="19">
        <f>PRODUCT(E26,F26)</f>
        <v>175</v>
      </c>
    </row>
    <row r="27" spans="1:9" ht="15">
      <c r="A27" s="11">
        <v>1023</v>
      </c>
      <c r="B27" s="12" t="s">
        <v>53</v>
      </c>
      <c r="C27" s="12" t="s">
        <v>29</v>
      </c>
      <c r="D27" s="12" t="s">
        <v>37</v>
      </c>
      <c r="E27" s="11">
        <v>30</v>
      </c>
      <c r="F27" s="11">
        <v>8</v>
      </c>
      <c r="G27" s="13">
        <v>45326</v>
      </c>
      <c r="I27" s="19">
        <v>240</v>
      </c>
    </row>
    <row r="28" spans="1:9" ht="15">
      <c r="A28" s="11">
        <v>1024</v>
      </c>
      <c r="B28" s="12" t="s">
        <v>54</v>
      </c>
      <c r="C28" s="12" t="s">
        <v>32</v>
      </c>
      <c r="D28" s="12" t="s">
        <v>24</v>
      </c>
      <c r="E28" s="11">
        <v>11</v>
      </c>
      <c r="F28" s="11">
        <v>50</v>
      </c>
      <c r="G28" s="13">
        <v>45328</v>
      </c>
      <c r="I28" s="19">
        <v>550</v>
      </c>
    </row>
    <row r="29" spans="1:9" ht="15">
      <c r="A29" s="11">
        <v>1025</v>
      </c>
      <c r="B29" s="12" t="s">
        <v>55</v>
      </c>
      <c r="C29" s="12" t="s">
        <v>23</v>
      </c>
      <c r="D29" s="12" t="s">
        <v>27</v>
      </c>
      <c r="E29" s="11">
        <v>14</v>
      </c>
      <c r="F29" s="11">
        <v>10</v>
      </c>
      <c r="G29" s="13">
        <v>45329</v>
      </c>
      <c r="I29" s="19">
        <v>140</v>
      </c>
    </row>
    <row r="30" spans="1:9" ht="15">
      <c r="A30" s="11">
        <v>1026</v>
      </c>
      <c r="B30" s="12" t="s">
        <v>56</v>
      </c>
      <c r="C30" s="12" t="s">
        <v>26</v>
      </c>
      <c r="D30" s="12" t="s">
        <v>30</v>
      </c>
      <c r="E30" s="11">
        <v>16</v>
      </c>
      <c r="F30" s="11">
        <v>25</v>
      </c>
      <c r="G30" s="13">
        <v>45330</v>
      </c>
      <c r="I30" s="19">
        <f>PRODUCT(E30,F30)</f>
        <v>400</v>
      </c>
    </row>
    <row r="31" spans="1:9" ht="15">
      <c r="A31" s="11">
        <v>1027</v>
      </c>
      <c r="B31" s="12" t="s">
        <v>57</v>
      </c>
      <c r="C31" s="12" t="s">
        <v>29</v>
      </c>
      <c r="D31" s="12" t="s">
        <v>34</v>
      </c>
      <c r="E31" s="11">
        <v>22</v>
      </c>
      <c r="F31" s="11">
        <v>5</v>
      </c>
      <c r="G31" s="13">
        <v>45331</v>
      </c>
      <c r="I31" s="19">
        <f>PRODUCT(E31,F31)</f>
        <v>110</v>
      </c>
    </row>
    <row r="32" spans="1:9" ht="15">
      <c r="A32" s="11">
        <v>1028</v>
      </c>
      <c r="B32" s="12" t="s">
        <v>58</v>
      </c>
      <c r="C32" s="12" t="s">
        <v>32</v>
      </c>
      <c r="D32" s="12" t="s">
        <v>37</v>
      </c>
      <c r="E32" s="11">
        <v>27</v>
      </c>
      <c r="F32" s="11">
        <v>8</v>
      </c>
      <c r="G32" s="13">
        <v>45332</v>
      </c>
      <c r="I32" s="19">
        <f>PRODUCT(E32,F32)</f>
        <v>216</v>
      </c>
    </row>
    <row r="33" spans="1:9" ht="15">
      <c r="A33" s="11">
        <v>1029</v>
      </c>
      <c r="B33" s="12" t="s">
        <v>59</v>
      </c>
      <c r="C33" s="12" t="s">
        <v>23</v>
      </c>
      <c r="D33" s="12" t="s">
        <v>24</v>
      </c>
      <c r="E33" s="11">
        <v>13</v>
      </c>
      <c r="F33" s="11">
        <v>50</v>
      </c>
      <c r="G33" s="13">
        <v>45334</v>
      </c>
      <c r="I33" s="19">
        <v>650</v>
      </c>
    </row>
    <row r="34" spans="1:9" ht="15">
      <c r="A34" s="11">
        <v>1030</v>
      </c>
      <c r="B34" s="12" t="s">
        <v>60</v>
      </c>
      <c r="C34" s="12" t="s">
        <v>26</v>
      </c>
      <c r="D34" s="12" t="s">
        <v>27</v>
      </c>
      <c r="E34" s="11">
        <v>32</v>
      </c>
      <c r="F34" s="11">
        <v>10</v>
      </c>
      <c r="G34" s="13">
        <v>45335</v>
      </c>
      <c r="I34" s="19">
        <v>320</v>
      </c>
    </row>
    <row r="35" spans="1:9" ht="15">
      <c r="A35" s="11">
        <v>1031</v>
      </c>
      <c r="B35" s="12" t="s">
        <v>61</v>
      </c>
      <c r="C35" s="12" t="s">
        <v>29</v>
      </c>
      <c r="D35" s="12" t="s">
        <v>30</v>
      </c>
      <c r="E35" s="11">
        <v>10</v>
      </c>
      <c r="F35" s="11">
        <v>25</v>
      </c>
      <c r="G35" s="13">
        <v>45336</v>
      </c>
      <c r="I35" s="19">
        <v>250</v>
      </c>
    </row>
    <row r="36" spans="1:9" ht="15">
      <c r="A36" s="11">
        <v>1032</v>
      </c>
      <c r="B36" s="12" t="s">
        <v>62</v>
      </c>
      <c r="C36" s="12" t="s">
        <v>32</v>
      </c>
      <c r="D36" s="12" t="s">
        <v>34</v>
      </c>
      <c r="E36" s="11">
        <v>18</v>
      </c>
      <c r="F36" s="11">
        <v>5</v>
      </c>
      <c r="G36" s="13">
        <v>45338</v>
      </c>
      <c r="I36" s="19">
        <f>PRODUCT(E36,F36)</f>
        <v>90</v>
      </c>
    </row>
    <row r="37" spans="1:9" ht="15">
      <c r="A37" s="11">
        <v>1033</v>
      </c>
      <c r="B37" s="12" t="s">
        <v>63</v>
      </c>
      <c r="C37" s="12" t="s">
        <v>23</v>
      </c>
      <c r="D37" s="12" t="s">
        <v>37</v>
      </c>
      <c r="E37" s="11">
        <v>22</v>
      </c>
      <c r="F37" s="11">
        <v>8</v>
      </c>
      <c r="G37" s="13">
        <v>45339</v>
      </c>
      <c r="I37" s="19">
        <v>176</v>
      </c>
    </row>
    <row r="38" spans="1:9" ht="15">
      <c r="A38" s="11">
        <v>1034</v>
      </c>
      <c r="B38" s="12" t="s">
        <v>64</v>
      </c>
      <c r="C38" s="12" t="s">
        <v>26</v>
      </c>
      <c r="D38" s="12" t="s">
        <v>24</v>
      </c>
      <c r="E38" s="11">
        <v>17</v>
      </c>
      <c r="F38" s="11">
        <v>50</v>
      </c>
      <c r="G38" s="13">
        <v>45340</v>
      </c>
      <c r="I38" s="19">
        <v>850</v>
      </c>
    </row>
    <row r="39" spans="1:9" ht="15">
      <c r="A39" s="11">
        <v>1035</v>
      </c>
      <c r="B39" s="12" t="s">
        <v>65</v>
      </c>
      <c r="C39" s="12" t="s">
        <v>29</v>
      </c>
      <c r="D39" s="12" t="s">
        <v>27</v>
      </c>
      <c r="E39" s="11">
        <v>19</v>
      </c>
      <c r="F39" s="11">
        <v>10</v>
      </c>
      <c r="G39" s="13">
        <v>45341</v>
      </c>
      <c r="I39" s="19">
        <v>190</v>
      </c>
    </row>
    <row r="40" spans="1:9" ht="15">
      <c r="A40" s="11">
        <v>1036</v>
      </c>
      <c r="B40" s="12" t="s">
        <v>66</v>
      </c>
      <c r="C40" s="12" t="s">
        <v>32</v>
      </c>
      <c r="D40" s="12" t="s">
        <v>30</v>
      </c>
      <c r="E40" s="11">
        <v>15</v>
      </c>
      <c r="F40" s="11">
        <v>25</v>
      </c>
      <c r="G40" s="13">
        <v>45343</v>
      </c>
      <c r="I40" s="19">
        <v>375</v>
      </c>
    </row>
    <row r="41" spans="1:9" ht="15">
      <c r="A41" s="11">
        <v>1037</v>
      </c>
      <c r="B41" s="12" t="s">
        <v>67</v>
      </c>
      <c r="C41" s="12" t="s">
        <v>23</v>
      </c>
      <c r="D41" s="12" t="s">
        <v>34</v>
      </c>
      <c r="E41" s="11">
        <v>28</v>
      </c>
      <c r="F41" s="11">
        <v>5</v>
      </c>
      <c r="G41" s="13">
        <v>45344</v>
      </c>
      <c r="I41" s="19">
        <v>140</v>
      </c>
    </row>
    <row r="42" spans="1:9" ht="15">
      <c r="A42" s="11">
        <v>1038</v>
      </c>
      <c r="B42" s="12" t="s">
        <v>68</v>
      </c>
      <c r="C42" s="12" t="s">
        <v>26</v>
      </c>
      <c r="D42" s="12" t="s">
        <v>37</v>
      </c>
      <c r="E42" s="11">
        <v>24</v>
      </c>
      <c r="F42" s="11">
        <v>8</v>
      </c>
      <c r="G42" s="13">
        <v>45345</v>
      </c>
      <c r="I42" s="19">
        <v>192</v>
      </c>
    </row>
    <row r="43" spans="1:9" ht="15">
      <c r="A43" s="11">
        <v>1039</v>
      </c>
      <c r="B43" s="12" t="s">
        <v>69</v>
      </c>
      <c r="C43" s="12" t="s">
        <v>29</v>
      </c>
      <c r="D43" s="12" t="s">
        <v>24</v>
      </c>
      <c r="E43" s="11">
        <v>16</v>
      </c>
      <c r="F43" s="11">
        <v>50</v>
      </c>
      <c r="G43" s="13">
        <v>45347</v>
      </c>
      <c r="I43" s="19">
        <v>800</v>
      </c>
    </row>
    <row r="44" spans="1:9" ht="15">
      <c r="A44" s="11">
        <v>1040</v>
      </c>
      <c r="B44" s="12" t="s">
        <v>70</v>
      </c>
      <c r="C44" s="12" t="s">
        <v>32</v>
      </c>
      <c r="D44" s="12" t="s">
        <v>27</v>
      </c>
      <c r="E44" s="11">
        <v>27</v>
      </c>
      <c r="F44" s="11">
        <v>10</v>
      </c>
      <c r="G44" s="13">
        <v>45348</v>
      </c>
      <c r="I44" s="19">
        <v>270</v>
      </c>
    </row>
    <row r="45" spans="1:9" ht="15">
      <c r="A45" s="11">
        <v>1041</v>
      </c>
      <c r="B45" s="12" t="s">
        <v>71</v>
      </c>
      <c r="C45" s="12" t="s">
        <v>23</v>
      </c>
      <c r="D45" s="12" t="s">
        <v>30</v>
      </c>
      <c r="E45" s="11">
        <v>21</v>
      </c>
      <c r="F45" s="11">
        <v>25</v>
      </c>
      <c r="G45" s="13">
        <v>45349</v>
      </c>
      <c r="I45" s="19">
        <v>525</v>
      </c>
    </row>
    <row r="46" spans="1:9" ht="15">
      <c r="A46" s="11">
        <v>1042</v>
      </c>
      <c r="B46" s="12" t="s">
        <v>72</v>
      </c>
      <c r="C46" s="12" t="s">
        <v>26</v>
      </c>
      <c r="D46" s="12" t="s">
        <v>34</v>
      </c>
      <c r="E46" s="11">
        <v>30</v>
      </c>
      <c r="F46" s="11">
        <v>5</v>
      </c>
      <c r="G46" s="13">
        <v>45350</v>
      </c>
      <c r="I46" s="19">
        <v>150</v>
      </c>
    </row>
    <row r="47" spans="1:9" ht="15">
      <c r="A47" s="11">
        <v>1043</v>
      </c>
      <c r="B47" s="12" t="s">
        <v>73</v>
      </c>
      <c r="C47" s="12" t="s">
        <v>29</v>
      </c>
      <c r="D47" s="12" t="s">
        <v>37</v>
      </c>
      <c r="E47" s="11">
        <v>26</v>
      </c>
      <c r="F47" s="11">
        <v>8</v>
      </c>
      <c r="G47" s="13">
        <v>45352</v>
      </c>
      <c r="I47" s="19">
        <v>208</v>
      </c>
    </row>
    <row r="48" spans="1:9" ht="15">
      <c r="A48" s="11">
        <v>1044</v>
      </c>
      <c r="B48" s="12" t="s">
        <v>74</v>
      </c>
      <c r="C48" s="12" t="s">
        <v>32</v>
      </c>
      <c r="D48" s="12" t="s">
        <v>24</v>
      </c>
      <c r="E48" s="11">
        <v>14</v>
      </c>
      <c r="F48" s="11">
        <v>50</v>
      </c>
      <c r="G48" s="13">
        <v>45353</v>
      </c>
      <c r="I48" s="19">
        <v>700</v>
      </c>
    </row>
    <row r="49" spans="1:9" ht="15">
      <c r="A49" s="11">
        <v>1045</v>
      </c>
      <c r="B49" s="12" t="s">
        <v>75</v>
      </c>
      <c r="C49" s="12" t="s">
        <v>23</v>
      </c>
      <c r="D49" s="12" t="s">
        <v>27</v>
      </c>
      <c r="E49" s="11">
        <v>20</v>
      </c>
      <c r="F49" s="11">
        <v>10</v>
      </c>
      <c r="G49" s="13">
        <v>45354</v>
      </c>
      <c r="I49" s="19">
        <v>200</v>
      </c>
    </row>
    <row r="50" spans="1:9" ht="15">
      <c r="A50" s="11">
        <v>1046</v>
      </c>
      <c r="B50" s="12" t="s">
        <v>76</v>
      </c>
      <c r="C50" s="12" t="s">
        <v>26</v>
      </c>
      <c r="D50" s="12" t="s">
        <v>30</v>
      </c>
      <c r="E50" s="11">
        <v>17</v>
      </c>
      <c r="F50" s="11">
        <v>25</v>
      </c>
      <c r="G50" s="13">
        <v>45355</v>
      </c>
      <c r="I50" s="19">
        <v>425</v>
      </c>
    </row>
    <row r="51" spans="1:9" ht="15">
      <c r="A51" s="11">
        <v>1047</v>
      </c>
      <c r="B51" s="12" t="s">
        <v>77</v>
      </c>
      <c r="C51" s="12" t="s">
        <v>29</v>
      </c>
      <c r="D51" s="12" t="s">
        <v>34</v>
      </c>
      <c r="E51" s="11">
        <v>19</v>
      </c>
      <c r="F51" s="11">
        <v>5</v>
      </c>
      <c r="G51" s="13">
        <v>45356</v>
      </c>
      <c r="I51" s="19">
        <v>95</v>
      </c>
    </row>
    <row r="52" spans="1:9" ht="15">
      <c r="A52" s="11">
        <v>1048</v>
      </c>
      <c r="B52" s="12" t="s">
        <v>78</v>
      </c>
      <c r="C52" s="12" t="s">
        <v>32</v>
      </c>
      <c r="D52" s="12" t="s">
        <v>37</v>
      </c>
      <c r="E52" s="11">
        <v>32</v>
      </c>
      <c r="F52" s="11">
        <v>8</v>
      </c>
      <c r="G52" s="13">
        <v>45357</v>
      </c>
      <c r="I52" s="19">
        <v>256</v>
      </c>
    </row>
    <row r="53" spans="1:9" ht="15">
      <c r="A53" s="11">
        <v>1049</v>
      </c>
      <c r="B53" s="12" t="s">
        <v>79</v>
      </c>
      <c r="C53" s="12" t="s">
        <v>23</v>
      </c>
      <c r="D53" s="12" t="s">
        <v>24</v>
      </c>
      <c r="E53" s="11">
        <v>12</v>
      </c>
      <c r="F53" s="11">
        <v>50</v>
      </c>
      <c r="G53" s="13">
        <v>45358</v>
      </c>
      <c r="I53" s="19">
        <v>600</v>
      </c>
    </row>
    <row r="54" spans="1:9" ht="15">
      <c r="A54" s="11">
        <v>1050</v>
      </c>
      <c r="B54" s="12" t="s">
        <v>80</v>
      </c>
      <c r="C54" s="12" t="s">
        <v>26</v>
      </c>
      <c r="D54" s="12" t="s">
        <v>27</v>
      </c>
      <c r="E54" s="11">
        <v>25</v>
      </c>
      <c r="F54" s="11">
        <v>10</v>
      </c>
      <c r="G54" s="13">
        <v>45359</v>
      </c>
      <c r="I54" s="19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3"/>
  <sheetViews>
    <sheetView workbookViewId="0">
      <selection activeCell="K9" sqref="K9"/>
    </sheetView>
  </sheetViews>
  <sheetFormatPr defaultRowHeight="14.25"/>
  <cols>
    <col min="1" max="1" width="14.125" customWidth="1"/>
    <col min="2" max="2" width="16.125" customWidth="1"/>
    <col min="3" max="3" width="16.25" customWidth="1"/>
    <col min="4" max="4" width="14.375" customWidth="1"/>
    <col min="7" max="7" width="12.375" customWidth="1"/>
    <col min="8" max="9" width="10.875" customWidth="1"/>
  </cols>
  <sheetData>
    <row r="1" spans="1:14" ht="28.5" customHeight="1" thickBot="1">
      <c r="A1" s="36" t="s">
        <v>15</v>
      </c>
      <c r="B1" s="41" t="s">
        <v>16</v>
      </c>
      <c r="C1" s="41" t="s">
        <v>17</v>
      </c>
      <c r="D1" s="41" t="s">
        <v>18</v>
      </c>
      <c r="E1" s="41" t="s">
        <v>19</v>
      </c>
      <c r="F1" s="41" t="s">
        <v>20</v>
      </c>
      <c r="G1" s="41" t="s">
        <v>21</v>
      </c>
      <c r="H1" s="18" t="s">
        <v>86</v>
      </c>
    </row>
    <row r="2" spans="1:14" ht="28.5" customHeight="1" thickBot="1">
      <c r="A2" s="37">
        <v>1001</v>
      </c>
      <c r="B2" s="38" t="s">
        <v>22</v>
      </c>
      <c r="C2" s="38" t="s">
        <v>23</v>
      </c>
      <c r="D2" s="38" t="s">
        <v>24</v>
      </c>
      <c r="E2" s="37">
        <v>10</v>
      </c>
      <c r="F2" s="37">
        <v>50</v>
      </c>
      <c r="G2" s="39">
        <v>45296</v>
      </c>
      <c r="H2" s="19">
        <f>PRODUCT(E2,F2)</f>
        <v>500</v>
      </c>
    </row>
    <row r="3" spans="1:14" ht="28.5" customHeight="1" thickBot="1">
      <c r="A3" s="37">
        <v>1002</v>
      </c>
      <c r="B3" s="38" t="s">
        <v>25</v>
      </c>
      <c r="C3" s="38" t="s">
        <v>26</v>
      </c>
      <c r="D3" s="38" t="s">
        <v>27</v>
      </c>
      <c r="E3" s="37">
        <v>20</v>
      </c>
      <c r="F3" s="37">
        <v>10</v>
      </c>
      <c r="G3" s="39">
        <v>45297</v>
      </c>
      <c r="H3" s="19">
        <f t="shared" ref="H3:H51" si="0">PRODUCT(E3,F3)</f>
        <v>200</v>
      </c>
    </row>
    <row r="4" spans="1:14" ht="28.5" customHeight="1" thickBot="1">
      <c r="A4" s="37">
        <v>1003</v>
      </c>
      <c r="B4" s="38" t="s">
        <v>28</v>
      </c>
      <c r="C4" s="38" t="s">
        <v>29</v>
      </c>
      <c r="D4" s="38" t="s">
        <v>30</v>
      </c>
      <c r="E4" s="37">
        <v>15</v>
      </c>
      <c r="F4" s="37">
        <v>25</v>
      </c>
      <c r="G4" s="39">
        <v>45298</v>
      </c>
      <c r="H4" s="19">
        <f t="shared" si="0"/>
        <v>375</v>
      </c>
    </row>
    <row r="5" spans="1:14" ht="28.5" customHeight="1" thickBot="1">
      <c r="A5" s="37">
        <v>1004</v>
      </c>
      <c r="B5" s="38" t="s">
        <v>31</v>
      </c>
      <c r="C5" s="38" t="s">
        <v>32</v>
      </c>
      <c r="D5" s="38" t="s">
        <v>24</v>
      </c>
      <c r="E5" s="37">
        <v>5</v>
      </c>
      <c r="F5" s="37">
        <v>50</v>
      </c>
      <c r="G5" s="39">
        <v>45299</v>
      </c>
      <c r="H5" s="19">
        <f t="shared" si="0"/>
        <v>250</v>
      </c>
      <c r="I5" s="7" t="s">
        <v>14</v>
      </c>
      <c r="J5" s="8">
        <f>SUMIFS(H2:H51,D2:D51,"Notebook",C2:C51,"North")</f>
        <v>2900</v>
      </c>
    </row>
    <row r="6" spans="1:14" ht="28.5" customHeight="1" thickBot="1">
      <c r="A6" s="37">
        <v>1005</v>
      </c>
      <c r="B6" s="38" t="s">
        <v>33</v>
      </c>
      <c r="C6" s="38" t="s">
        <v>23</v>
      </c>
      <c r="D6" s="38" t="s">
        <v>34</v>
      </c>
      <c r="E6" s="37">
        <v>30</v>
      </c>
      <c r="F6" s="37">
        <v>5</v>
      </c>
      <c r="G6" s="39">
        <v>45301</v>
      </c>
      <c r="H6" s="19">
        <f t="shared" si="0"/>
        <v>150</v>
      </c>
      <c r="I6" s="45" t="s">
        <v>96</v>
      </c>
      <c r="J6" s="45"/>
      <c r="K6" s="45"/>
      <c r="L6" s="45"/>
      <c r="M6" s="45"/>
      <c r="N6" s="45"/>
    </row>
    <row r="7" spans="1:14" ht="28.5" customHeight="1" thickBot="1">
      <c r="A7" s="37">
        <v>1006</v>
      </c>
      <c r="B7" s="38" t="s">
        <v>35</v>
      </c>
      <c r="C7" s="38" t="s">
        <v>26</v>
      </c>
      <c r="D7" s="38" t="s">
        <v>24</v>
      </c>
      <c r="E7" s="37">
        <v>12</v>
      </c>
      <c r="F7" s="37">
        <v>50</v>
      </c>
      <c r="G7" s="39">
        <v>45302</v>
      </c>
      <c r="H7" s="19">
        <f t="shared" si="0"/>
        <v>600</v>
      </c>
    </row>
    <row r="8" spans="1:14" ht="28.5" customHeight="1" thickBot="1">
      <c r="A8" s="37">
        <v>1007</v>
      </c>
      <c r="B8" s="38" t="s">
        <v>36</v>
      </c>
      <c r="C8" s="38" t="s">
        <v>29</v>
      </c>
      <c r="D8" s="38" t="s">
        <v>37</v>
      </c>
      <c r="E8" s="37">
        <v>25</v>
      </c>
      <c r="F8" s="37">
        <v>8</v>
      </c>
      <c r="G8" s="39">
        <v>45304</v>
      </c>
      <c r="H8" s="19">
        <f t="shared" si="0"/>
        <v>200</v>
      </c>
    </row>
    <row r="9" spans="1:14" ht="28.5" customHeight="1" thickBot="1">
      <c r="A9" s="37">
        <v>1008</v>
      </c>
      <c r="B9" s="38" t="s">
        <v>38</v>
      </c>
      <c r="C9" s="38" t="s">
        <v>32</v>
      </c>
      <c r="D9" s="38" t="s">
        <v>27</v>
      </c>
      <c r="E9" s="37">
        <v>18</v>
      </c>
      <c r="F9" s="37">
        <v>10</v>
      </c>
      <c r="G9" s="39">
        <v>45306</v>
      </c>
      <c r="H9" s="19">
        <f t="shared" si="0"/>
        <v>180</v>
      </c>
    </row>
    <row r="10" spans="1:14" ht="28.5" customHeight="1" thickBot="1">
      <c r="A10" s="37">
        <v>1009</v>
      </c>
      <c r="B10" s="38" t="s">
        <v>39</v>
      </c>
      <c r="C10" s="38" t="s">
        <v>23</v>
      </c>
      <c r="D10" s="38" t="s">
        <v>30</v>
      </c>
      <c r="E10" s="37">
        <v>22</v>
      </c>
      <c r="F10" s="37">
        <v>25</v>
      </c>
      <c r="G10" s="39">
        <v>45308</v>
      </c>
      <c r="H10" s="19">
        <f t="shared" si="0"/>
        <v>550</v>
      </c>
    </row>
    <row r="11" spans="1:14" ht="28.5" customHeight="1" thickBot="1">
      <c r="A11" s="37">
        <v>1010</v>
      </c>
      <c r="B11" s="38" t="s">
        <v>40</v>
      </c>
      <c r="C11" s="38" t="s">
        <v>26</v>
      </c>
      <c r="D11" s="38" t="s">
        <v>24</v>
      </c>
      <c r="E11" s="37">
        <v>8</v>
      </c>
      <c r="F11" s="37">
        <v>50</v>
      </c>
      <c r="G11" s="39">
        <v>45309</v>
      </c>
      <c r="H11" s="19">
        <f t="shared" si="0"/>
        <v>400</v>
      </c>
    </row>
    <row r="12" spans="1:14" ht="28.5" customHeight="1" thickBot="1">
      <c r="A12" s="37">
        <v>1011</v>
      </c>
      <c r="B12" s="38" t="s">
        <v>41</v>
      </c>
      <c r="C12" s="38" t="s">
        <v>29</v>
      </c>
      <c r="D12" s="38" t="s">
        <v>34</v>
      </c>
      <c r="E12" s="37">
        <v>40</v>
      </c>
      <c r="F12" s="37">
        <v>5</v>
      </c>
      <c r="G12" s="39">
        <v>45310</v>
      </c>
      <c r="H12" s="19">
        <f t="shared" si="0"/>
        <v>200</v>
      </c>
    </row>
    <row r="13" spans="1:14" ht="15.75" thickBot="1">
      <c r="A13" s="37">
        <v>1012</v>
      </c>
      <c r="B13" s="38" t="s">
        <v>42</v>
      </c>
      <c r="C13" s="38" t="s">
        <v>32</v>
      </c>
      <c r="D13" s="38" t="s">
        <v>37</v>
      </c>
      <c r="E13" s="37">
        <v>35</v>
      </c>
      <c r="F13" s="37">
        <v>8</v>
      </c>
      <c r="G13" s="39">
        <v>45311</v>
      </c>
      <c r="H13" s="19">
        <f t="shared" si="0"/>
        <v>280</v>
      </c>
    </row>
    <row r="14" spans="1:14" ht="15.75" thickBot="1">
      <c r="A14" s="37">
        <v>1013</v>
      </c>
      <c r="B14" s="38" t="s">
        <v>43</v>
      </c>
      <c r="C14" s="38" t="s">
        <v>23</v>
      </c>
      <c r="D14" s="38" t="s">
        <v>24</v>
      </c>
      <c r="E14" s="37">
        <v>14</v>
      </c>
      <c r="F14" s="37">
        <v>50</v>
      </c>
      <c r="G14" s="39">
        <v>45313</v>
      </c>
      <c r="H14" s="19">
        <f t="shared" si="0"/>
        <v>700</v>
      </c>
    </row>
    <row r="15" spans="1:14" ht="15.75" thickBot="1">
      <c r="A15" s="37">
        <v>1014</v>
      </c>
      <c r="B15" s="38" t="s">
        <v>44</v>
      </c>
      <c r="C15" s="38" t="s">
        <v>26</v>
      </c>
      <c r="D15" s="38" t="s">
        <v>27</v>
      </c>
      <c r="E15" s="37">
        <v>28</v>
      </c>
      <c r="F15" s="37">
        <v>10</v>
      </c>
      <c r="G15" s="39">
        <v>45314</v>
      </c>
      <c r="H15" s="19">
        <f t="shared" si="0"/>
        <v>280</v>
      </c>
    </row>
    <row r="16" spans="1:14" ht="15.75" thickBot="1">
      <c r="A16" s="37">
        <v>1015</v>
      </c>
      <c r="B16" s="38" t="s">
        <v>45</v>
      </c>
      <c r="C16" s="38" t="s">
        <v>29</v>
      </c>
      <c r="D16" s="38" t="s">
        <v>30</v>
      </c>
      <c r="E16" s="37">
        <v>12</v>
      </c>
      <c r="F16" s="37">
        <v>25</v>
      </c>
      <c r="G16" s="39">
        <v>45315</v>
      </c>
      <c r="H16" s="19">
        <f t="shared" si="0"/>
        <v>300</v>
      </c>
    </row>
    <row r="17" spans="1:8" ht="15.75" thickBot="1">
      <c r="A17" s="37">
        <v>1016</v>
      </c>
      <c r="B17" s="38" t="s">
        <v>46</v>
      </c>
      <c r="C17" s="38" t="s">
        <v>32</v>
      </c>
      <c r="D17" s="38" t="s">
        <v>34</v>
      </c>
      <c r="E17" s="37">
        <v>25</v>
      </c>
      <c r="F17" s="37">
        <v>5</v>
      </c>
      <c r="G17" s="39">
        <v>45317</v>
      </c>
      <c r="H17" s="19">
        <f t="shared" si="0"/>
        <v>125</v>
      </c>
    </row>
    <row r="18" spans="1:8" ht="15.75" thickBot="1">
      <c r="A18" s="37">
        <v>1017</v>
      </c>
      <c r="B18" s="38" t="s">
        <v>47</v>
      </c>
      <c r="C18" s="38" t="s">
        <v>23</v>
      </c>
      <c r="D18" s="38" t="s">
        <v>37</v>
      </c>
      <c r="E18" s="37">
        <v>20</v>
      </c>
      <c r="F18" s="37">
        <v>8</v>
      </c>
      <c r="G18" s="39">
        <v>45319</v>
      </c>
      <c r="H18" s="19">
        <f t="shared" si="0"/>
        <v>160</v>
      </c>
    </row>
    <row r="19" spans="1:8" ht="15.75" thickBot="1">
      <c r="A19" s="37">
        <v>1018</v>
      </c>
      <c r="B19" s="38" t="s">
        <v>48</v>
      </c>
      <c r="C19" s="38" t="s">
        <v>26</v>
      </c>
      <c r="D19" s="38" t="s">
        <v>24</v>
      </c>
      <c r="E19" s="37">
        <v>10</v>
      </c>
      <c r="F19" s="37">
        <v>50</v>
      </c>
      <c r="G19" s="39">
        <v>45320</v>
      </c>
      <c r="H19" s="19">
        <f t="shared" si="0"/>
        <v>500</v>
      </c>
    </row>
    <row r="20" spans="1:8" ht="15.75" thickBot="1">
      <c r="A20" s="37">
        <v>1019</v>
      </c>
      <c r="B20" s="38" t="s">
        <v>49</v>
      </c>
      <c r="C20" s="38" t="s">
        <v>29</v>
      </c>
      <c r="D20" s="38" t="s">
        <v>27</v>
      </c>
      <c r="E20" s="37">
        <v>15</v>
      </c>
      <c r="F20" s="37">
        <v>10</v>
      </c>
      <c r="G20" s="39">
        <v>45321</v>
      </c>
      <c r="H20" s="19">
        <f t="shared" si="0"/>
        <v>150</v>
      </c>
    </row>
    <row r="21" spans="1:8" ht="15.75" thickBot="1">
      <c r="A21" s="37">
        <v>1020</v>
      </c>
      <c r="B21" s="38" t="s">
        <v>50</v>
      </c>
      <c r="C21" s="38" t="s">
        <v>32</v>
      </c>
      <c r="D21" s="38" t="s">
        <v>30</v>
      </c>
      <c r="E21" s="37">
        <v>18</v>
      </c>
      <c r="F21" s="37">
        <v>25</v>
      </c>
      <c r="G21" s="39">
        <v>45323</v>
      </c>
      <c r="H21" s="19">
        <f t="shared" si="0"/>
        <v>450</v>
      </c>
    </row>
    <row r="22" spans="1:8" ht="15.75" thickBot="1">
      <c r="A22" s="37">
        <v>1021</v>
      </c>
      <c r="B22" s="38" t="s">
        <v>51</v>
      </c>
      <c r="C22" s="38" t="s">
        <v>23</v>
      </c>
      <c r="D22" s="38" t="s">
        <v>24</v>
      </c>
      <c r="E22" s="37">
        <v>9</v>
      </c>
      <c r="F22" s="37">
        <v>50</v>
      </c>
      <c r="G22" s="39">
        <v>45324</v>
      </c>
      <c r="H22" s="19">
        <f t="shared" si="0"/>
        <v>450</v>
      </c>
    </row>
    <row r="23" spans="1:8" ht="15.75" thickBot="1">
      <c r="A23" s="37">
        <v>1022</v>
      </c>
      <c r="B23" s="38" t="s">
        <v>52</v>
      </c>
      <c r="C23" s="38" t="s">
        <v>26</v>
      </c>
      <c r="D23" s="38" t="s">
        <v>34</v>
      </c>
      <c r="E23" s="37">
        <v>35</v>
      </c>
      <c r="F23" s="37">
        <v>5</v>
      </c>
      <c r="G23" s="39">
        <v>45325</v>
      </c>
      <c r="H23" s="19">
        <f t="shared" si="0"/>
        <v>175</v>
      </c>
    </row>
    <row r="24" spans="1:8" ht="15.75" thickBot="1">
      <c r="A24" s="37">
        <v>1023</v>
      </c>
      <c r="B24" s="38" t="s">
        <v>53</v>
      </c>
      <c r="C24" s="38" t="s">
        <v>29</v>
      </c>
      <c r="D24" s="38" t="s">
        <v>37</v>
      </c>
      <c r="E24" s="37">
        <v>30</v>
      </c>
      <c r="F24" s="37">
        <v>8</v>
      </c>
      <c r="G24" s="39">
        <v>45326</v>
      </c>
      <c r="H24" s="19">
        <f t="shared" si="0"/>
        <v>240</v>
      </c>
    </row>
    <row r="25" spans="1:8" ht="15.75" thickBot="1">
      <c r="A25" s="37">
        <v>1024</v>
      </c>
      <c r="B25" s="38" t="s">
        <v>54</v>
      </c>
      <c r="C25" s="38" t="s">
        <v>32</v>
      </c>
      <c r="D25" s="38" t="s">
        <v>24</v>
      </c>
      <c r="E25" s="37">
        <v>11</v>
      </c>
      <c r="F25" s="37">
        <v>50</v>
      </c>
      <c r="G25" s="39">
        <v>45328</v>
      </c>
      <c r="H25" s="19">
        <f t="shared" si="0"/>
        <v>550</v>
      </c>
    </row>
    <row r="26" spans="1:8" ht="15.75" thickBot="1">
      <c r="A26" s="37">
        <v>1025</v>
      </c>
      <c r="B26" s="38" t="s">
        <v>55</v>
      </c>
      <c r="C26" s="38" t="s">
        <v>23</v>
      </c>
      <c r="D26" s="38" t="s">
        <v>27</v>
      </c>
      <c r="E26" s="37">
        <v>14</v>
      </c>
      <c r="F26" s="37">
        <v>10</v>
      </c>
      <c r="G26" s="39">
        <v>45329</v>
      </c>
      <c r="H26" s="19">
        <f t="shared" si="0"/>
        <v>140</v>
      </c>
    </row>
    <row r="27" spans="1:8" ht="15.75" thickBot="1">
      <c r="A27" s="37">
        <v>1026</v>
      </c>
      <c r="B27" s="38" t="s">
        <v>56</v>
      </c>
      <c r="C27" s="38" t="s">
        <v>26</v>
      </c>
      <c r="D27" s="38" t="s">
        <v>30</v>
      </c>
      <c r="E27" s="37">
        <v>16</v>
      </c>
      <c r="F27" s="37">
        <v>25</v>
      </c>
      <c r="G27" s="39">
        <v>45330</v>
      </c>
      <c r="H27" s="19">
        <f t="shared" si="0"/>
        <v>400</v>
      </c>
    </row>
    <row r="28" spans="1:8" ht="15.75" thickBot="1">
      <c r="A28" s="37">
        <v>1027</v>
      </c>
      <c r="B28" s="38" t="s">
        <v>57</v>
      </c>
      <c r="C28" s="38" t="s">
        <v>29</v>
      </c>
      <c r="D28" s="38" t="s">
        <v>34</v>
      </c>
      <c r="E28" s="37">
        <v>22</v>
      </c>
      <c r="F28" s="37">
        <v>5</v>
      </c>
      <c r="G28" s="39">
        <v>45331</v>
      </c>
      <c r="H28" s="19">
        <f t="shared" si="0"/>
        <v>110</v>
      </c>
    </row>
    <row r="29" spans="1:8" ht="15.75" thickBot="1">
      <c r="A29" s="37">
        <v>1028</v>
      </c>
      <c r="B29" s="38" t="s">
        <v>58</v>
      </c>
      <c r="C29" s="38" t="s">
        <v>32</v>
      </c>
      <c r="D29" s="38" t="s">
        <v>37</v>
      </c>
      <c r="E29" s="37">
        <v>27</v>
      </c>
      <c r="F29" s="37">
        <v>8</v>
      </c>
      <c r="G29" s="39">
        <v>45332</v>
      </c>
      <c r="H29" s="19">
        <f t="shared" si="0"/>
        <v>216</v>
      </c>
    </row>
    <row r="30" spans="1:8" ht="15.75" thickBot="1">
      <c r="A30" s="37">
        <v>1029</v>
      </c>
      <c r="B30" s="38" t="s">
        <v>59</v>
      </c>
      <c r="C30" s="38" t="s">
        <v>23</v>
      </c>
      <c r="D30" s="38" t="s">
        <v>24</v>
      </c>
      <c r="E30" s="37">
        <v>13</v>
      </c>
      <c r="F30" s="37">
        <v>50</v>
      </c>
      <c r="G30" s="39">
        <v>45334</v>
      </c>
      <c r="H30" s="19">
        <f t="shared" si="0"/>
        <v>650</v>
      </c>
    </row>
    <row r="31" spans="1:8" ht="15.75" thickBot="1">
      <c r="A31" s="37">
        <v>1030</v>
      </c>
      <c r="B31" s="38" t="s">
        <v>60</v>
      </c>
      <c r="C31" s="38" t="s">
        <v>26</v>
      </c>
      <c r="D31" s="38" t="s">
        <v>27</v>
      </c>
      <c r="E31" s="37">
        <v>32</v>
      </c>
      <c r="F31" s="37">
        <v>10</v>
      </c>
      <c r="G31" s="39">
        <v>45335</v>
      </c>
      <c r="H31" s="19">
        <f t="shared" si="0"/>
        <v>320</v>
      </c>
    </row>
    <row r="32" spans="1:8" ht="15.75" thickBot="1">
      <c r="A32" s="37">
        <v>1031</v>
      </c>
      <c r="B32" s="38" t="s">
        <v>61</v>
      </c>
      <c r="C32" s="38" t="s">
        <v>29</v>
      </c>
      <c r="D32" s="38" t="s">
        <v>30</v>
      </c>
      <c r="E32" s="37">
        <v>10</v>
      </c>
      <c r="F32" s="37">
        <v>25</v>
      </c>
      <c r="G32" s="39">
        <v>45336</v>
      </c>
      <c r="H32" s="19">
        <f t="shared" si="0"/>
        <v>250</v>
      </c>
    </row>
    <row r="33" spans="1:8" ht="15.75" thickBot="1">
      <c r="A33" s="37">
        <v>1032</v>
      </c>
      <c r="B33" s="38" t="s">
        <v>62</v>
      </c>
      <c r="C33" s="38" t="s">
        <v>32</v>
      </c>
      <c r="D33" s="38" t="s">
        <v>34</v>
      </c>
      <c r="E33" s="37">
        <v>18</v>
      </c>
      <c r="F33" s="37">
        <v>5</v>
      </c>
      <c r="G33" s="39">
        <v>45338</v>
      </c>
      <c r="H33" s="19">
        <f t="shared" si="0"/>
        <v>90</v>
      </c>
    </row>
    <row r="34" spans="1:8" ht="15.75" thickBot="1">
      <c r="A34" s="37">
        <v>1033</v>
      </c>
      <c r="B34" s="38" t="s">
        <v>63</v>
      </c>
      <c r="C34" s="38" t="s">
        <v>23</v>
      </c>
      <c r="D34" s="38" t="s">
        <v>37</v>
      </c>
      <c r="E34" s="37">
        <v>22</v>
      </c>
      <c r="F34" s="37">
        <v>8</v>
      </c>
      <c r="G34" s="39">
        <v>45339</v>
      </c>
      <c r="H34" s="19">
        <f t="shared" si="0"/>
        <v>176</v>
      </c>
    </row>
    <row r="35" spans="1:8" ht="15.75" thickBot="1">
      <c r="A35" s="37">
        <v>1034</v>
      </c>
      <c r="B35" s="38" t="s">
        <v>64</v>
      </c>
      <c r="C35" s="38" t="s">
        <v>26</v>
      </c>
      <c r="D35" s="38" t="s">
        <v>24</v>
      </c>
      <c r="E35" s="37">
        <v>17</v>
      </c>
      <c r="F35" s="37">
        <v>50</v>
      </c>
      <c r="G35" s="39">
        <v>45340</v>
      </c>
      <c r="H35" s="19">
        <f t="shared" si="0"/>
        <v>850</v>
      </c>
    </row>
    <row r="36" spans="1:8" ht="15.75" thickBot="1">
      <c r="A36" s="37">
        <v>1035</v>
      </c>
      <c r="B36" s="38" t="s">
        <v>65</v>
      </c>
      <c r="C36" s="38" t="s">
        <v>29</v>
      </c>
      <c r="D36" s="38" t="s">
        <v>27</v>
      </c>
      <c r="E36" s="37">
        <v>19</v>
      </c>
      <c r="F36" s="37">
        <v>10</v>
      </c>
      <c r="G36" s="39">
        <v>45341</v>
      </c>
      <c r="H36" s="19">
        <f t="shared" si="0"/>
        <v>190</v>
      </c>
    </row>
    <row r="37" spans="1:8" ht="15.75" thickBot="1">
      <c r="A37" s="37">
        <v>1036</v>
      </c>
      <c r="B37" s="38" t="s">
        <v>66</v>
      </c>
      <c r="C37" s="38" t="s">
        <v>32</v>
      </c>
      <c r="D37" s="38" t="s">
        <v>30</v>
      </c>
      <c r="E37" s="37">
        <v>15</v>
      </c>
      <c r="F37" s="37">
        <v>25</v>
      </c>
      <c r="G37" s="39">
        <v>45343</v>
      </c>
      <c r="H37" s="19">
        <f t="shared" si="0"/>
        <v>375</v>
      </c>
    </row>
    <row r="38" spans="1:8" ht="15.75" thickBot="1">
      <c r="A38" s="37">
        <v>1037</v>
      </c>
      <c r="B38" s="38" t="s">
        <v>67</v>
      </c>
      <c r="C38" s="38" t="s">
        <v>23</v>
      </c>
      <c r="D38" s="38" t="s">
        <v>34</v>
      </c>
      <c r="E38" s="37">
        <v>28</v>
      </c>
      <c r="F38" s="37">
        <v>5</v>
      </c>
      <c r="G38" s="39">
        <v>45344</v>
      </c>
      <c r="H38" s="19">
        <f t="shared" si="0"/>
        <v>140</v>
      </c>
    </row>
    <row r="39" spans="1:8" ht="15.75" thickBot="1">
      <c r="A39" s="37">
        <v>1038</v>
      </c>
      <c r="B39" s="38" t="s">
        <v>68</v>
      </c>
      <c r="C39" s="38" t="s">
        <v>26</v>
      </c>
      <c r="D39" s="38" t="s">
        <v>37</v>
      </c>
      <c r="E39" s="37">
        <v>24</v>
      </c>
      <c r="F39" s="37">
        <v>8</v>
      </c>
      <c r="G39" s="39">
        <v>45345</v>
      </c>
      <c r="H39" s="19">
        <f t="shared" si="0"/>
        <v>192</v>
      </c>
    </row>
    <row r="40" spans="1:8" ht="15.75" thickBot="1">
      <c r="A40" s="37">
        <v>1039</v>
      </c>
      <c r="B40" s="38" t="s">
        <v>69</v>
      </c>
      <c r="C40" s="38" t="s">
        <v>29</v>
      </c>
      <c r="D40" s="38" t="s">
        <v>24</v>
      </c>
      <c r="E40" s="37">
        <v>16</v>
      </c>
      <c r="F40" s="37">
        <v>50</v>
      </c>
      <c r="G40" s="39">
        <v>45347</v>
      </c>
      <c r="H40" s="19">
        <f t="shared" si="0"/>
        <v>800</v>
      </c>
    </row>
    <row r="41" spans="1:8" ht="15.75" thickBot="1">
      <c r="A41" s="37">
        <v>1040</v>
      </c>
      <c r="B41" s="38" t="s">
        <v>70</v>
      </c>
      <c r="C41" s="38" t="s">
        <v>32</v>
      </c>
      <c r="D41" s="38" t="s">
        <v>27</v>
      </c>
      <c r="E41" s="37">
        <v>27</v>
      </c>
      <c r="F41" s="37">
        <v>10</v>
      </c>
      <c r="G41" s="39">
        <v>45348</v>
      </c>
      <c r="H41" s="19">
        <f t="shared" si="0"/>
        <v>270</v>
      </c>
    </row>
    <row r="42" spans="1:8" ht="15.75" thickBot="1">
      <c r="A42" s="37">
        <v>1041</v>
      </c>
      <c r="B42" s="38" t="s">
        <v>71</v>
      </c>
      <c r="C42" s="38" t="s">
        <v>23</v>
      </c>
      <c r="D42" s="38" t="s">
        <v>30</v>
      </c>
      <c r="E42" s="37">
        <v>21</v>
      </c>
      <c r="F42" s="37">
        <v>25</v>
      </c>
      <c r="G42" s="39">
        <v>45349</v>
      </c>
      <c r="H42" s="19">
        <f t="shared" si="0"/>
        <v>525</v>
      </c>
    </row>
    <row r="43" spans="1:8" ht="15.75" thickBot="1">
      <c r="A43" s="37">
        <v>1042</v>
      </c>
      <c r="B43" s="38" t="s">
        <v>72</v>
      </c>
      <c r="C43" s="38" t="s">
        <v>26</v>
      </c>
      <c r="D43" s="38" t="s">
        <v>34</v>
      </c>
      <c r="E43" s="37">
        <v>30</v>
      </c>
      <c r="F43" s="37">
        <v>5</v>
      </c>
      <c r="G43" s="39">
        <v>45350</v>
      </c>
      <c r="H43" s="19">
        <f t="shared" si="0"/>
        <v>150</v>
      </c>
    </row>
    <row r="44" spans="1:8" ht="15.75" thickBot="1">
      <c r="A44" s="37">
        <v>1043</v>
      </c>
      <c r="B44" s="38" t="s">
        <v>73</v>
      </c>
      <c r="C44" s="38" t="s">
        <v>29</v>
      </c>
      <c r="D44" s="38" t="s">
        <v>37</v>
      </c>
      <c r="E44" s="37">
        <v>26</v>
      </c>
      <c r="F44" s="37">
        <v>8</v>
      </c>
      <c r="G44" s="39">
        <v>45352</v>
      </c>
      <c r="H44" s="19">
        <f t="shared" si="0"/>
        <v>208</v>
      </c>
    </row>
    <row r="45" spans="1:8" ht="15.75" thickBot="1">
      <c r="A45" s="37">
        <v>1044</v>
      </c>
      <c r="B45" s="38" t="s">
        <v>74</v>
      </c>
      <c r="C45" s="38" t="s">
        <v>32</v>
      </c>
      <c r="D45" s="38" t="s">
        <v>24</v>
      </c>
      <c r="E45" s="37">
        <v>14</v>
      </c>
      <c r="F45" s="37">
        <v>50</v>
      </c>
      <c r="G45" s="39">
        <v>45353</v>
      </c>
      <c r="H45" s="19">
        <f t="shared" si="0"/>
        <v>700</v>
      </c>
    </row>
    <row r="46" spans="1:8" ht="15.75" thickBot="1">
      <c r="A46" s="37">
        <v>1045</v>
      </c>
      <c r="B46" s="38" t="s">
        <v>75</v>
      </c>
      <c r="C46" s="38" t="s">
        <v>23</v>
      </c>
      <c r="D46" s="38" t="s">
        <v>27</v>
      </c>
      <c r="E46" s="37">
        <v>20</v>
      </c>
      <c r="F46" s="37">
        <v>10</v>
      </c>
      <c r="G46" s="39">
        <v>45354</v>
      </c>
      <c r="H46" s="19">
        <f t="shared" si="0"/>
        <v>200</v>
      </c>
    </row>
    <row r="47" spans="1:8" ht="15.75" thickBot="1">
      <c r="A47" s="37">
        <v>1046</v>
      </c>
      <c r="B47" s="38" t="s">
        <v>76</v>
      </c>
      <c r="C47" s="38" t="s">
        <v>26</v>
      </c>
      <c r="D47" s="38" t="s">
        <v>30</v>
      </c>
      <c r="E47" s="37">
        <v>17</v>
      </c>
      <c r="F47" s="37">
        <v>25</v>
      </c>
      <c r="G47" s="39">
        <v>45355</v>
      </c>
      <c r="H47" s="19">
        <f t="shared" si="0"/>
        <v>425</v>
      </c>
    </row>
    <row r="48" spans="1:8" ht="15.75" thickBot="1">
      <c r="A48" s="37">
        <v>1047</v>
      </c>
      <c r="B48" s="38" t="s">
        <v>77</v>
      </c>
      <c r="C48" s="38" t="s">
        <v>29</v>
      </c>
      <c r="D48" s="38" t="s">
        <v>34</v>
      </c>
      <c r="E48" s="37">
        <v>19</v>
      </c>
      <c r="F48" s="37">
        <v>5</v>
      </c>
      <c r="G48" s="39">
        <v>45356</v>
      </c>
      <c r="H48" s="19">
        <f t="shared" si="0"/>
        <v>95</v>
      </c>
    </row>
    <row r="49" spans="1:8" ht="15.75" thickBot="1">
      <c r="A49" s="37">
        <v>1048</v>
      </c>
      <c r="B49" s="38" t="s">
        <v>78</v>
      </c>
      <c r="C49" s="38" t="s">
        <v>32</v>
      </c>
      <c r="D49" s="38" t="s">
        <v>37</v>
      </c>
      <c r="E49" s="37">
        <v>32</v>
      </c>
      <c r="F49" s="37">
        <v>8</v>
      </c>
      <c r="G49" s="39">
        <v>45357</v>
      </c>
      <c r="H49" s="19">
        <f t="shared" si="0"/>
        <v>256</v>
      </c>
    </row>
    <row r="50" spans="1:8" ht="15.75" thickBot="1">
      <c r="A50" s="37">
        <v>1049</v>
      </c>
      <c r="B50" s="38" t="s">
        <v>79</v>
      </c>
      <c r="C50" s="38" t="s">
        <v>23</v>
      </c>
      <c r="D50" s="38" t="s">
        <v>24</v>
      </c>
      <c r="E50" s="37">
        <v>12</v>
      </c>
      <c r="F50" s="37">
        <v>50</v>
      </c>
      <c r="G50" s="39">
        <v>45358</v>
      </c>
      <c r="H50" s="19">
        <f t="shared" si="0"/>
        <v>600</v>
      </c>
    </row>
    <row r="51" spans="1:8" ht="15.75" thickBot="1">
      <c r="A51" s="37">
        <v>1050</v>
      </c>
      <c r="B51" s="38" t="s">
        <v>80</v>
      </c>
      <c r="C51" s="38" t="s">
        <v>26</v>
      </c>
      <c r="D51" s="38" t="s">
        <v>27</v>
      </c>
      <c r="E51" s="37">
        <v>25</v>
      </c>
      <c r="F51" s="37">
        <v>10</v>
      </c>
      <c r="G51" s="39">
        <v>45359</v>
      </c>
      <c r="H51" s="19">
        <f t="shared" si="0"/>
        <v>250</v>
      </c>
    </row>
    <row r="52" spans="1:8" ht="15" thickBot="1">
      <c r="A52" s="40"/>
      <c r="B52" s="40"/>
      <c r="C52" s="40"/>
      <c r="D52" s="40"/>
      <c r="E52" s="40"/>
      <c r="F52" s="40"/>
      <c r="G52" s="40"/>
    </row>
    <row r="53" spans="1:8" ht="15" thickBot="1">
      <c r="A53" s="40"/>
      <c r="B53" s="40"/>
      <c r="C53" s="40"/>
      <c r="D53" s="40"/>
      <c r="E53" s="40"/>
      <c r="F53" s="40"/>
      <c r="G53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I53"/>
  <sheetViews>
    <sheetView topLeftCell="H4" zoomScale="85" zoomScaleNormal="85" workbookViewId="0">
      <selection activeCell="N22" sqref="N22"/>
    </sheetView>
  </sheetViews>
  <sheetFormatPr defaultRowHeight="14.25"/>
  <cols>
    <col min="2" max="2" width="8" bestFit="1" customWidth="1"/>
    <col min="3" max="3" width="15" bestFit="1" customWidth="1"/>
    <col min="5" max="5" width="12.375" customWidth="1"/>
    <col min="7" max="7" width="10.125" customWidth="1"/>
    <col min="8" max="8" width="15.875" bestFit="1" customWidth="1"/>
    <col min="9" max="9" width="12.375" customWidth="1"/>
    <col min="21" max="21" width="7.625" bestFit="1" customWidth="1"/>
  </cols>
  <sheetData>
    <row r="1" spans="2:9" ht="18">
      <c r="B1" s="46" t="s">
        <v>97</v>
      </c>
      <c r="C1" s="47"/>
      <c r="D1" s="47"/>
      <c r="E1" s="47"/>
      <c r="F1" s="47"/>
      <c r="G1" s="48"/>
    </row>
    <row r="2" spans="2:9" ht="15" thickBot="1"/>
    <row r="3" spans="2:9" ht="15.75" thickBot="1">
      <c r="B3" s="36" t="s">
        <v>15</v>
      </c>
      <c r="C3" s="41" t="s">
        <v>16</v>
      </c>
      <c r="D3" s="41" t="s">
        <v>17</v>
      </c>
      <c r="E3" s="41" t="s">
        <v>18</v>
      </c>
      <c r="F3" s="41" t="s">
        <v>19</v>
      </c>
      <c r="G3" s="41" t="s">
        <v>20</v>
      </c>
      <c r="H3" s="41" t="s">
        <v>21</v>
      </c>
      <c r="I3" s="18" t="s">
        <v>86</v>
      </c>
    </row>
    <row r="4" spans="2:9" ht="15.75" thickBot="1">
      <c r="B4" s="37">
        <v>1001</v>
      </c>
      <c r="C4" s="38"/>
      <c r="D4" s="38" t="s">
        <v>23</v>
      </c>
      <c r="E4" s="38" t="s">
        <v>24</v>
      </c>
      <c r="F4" s="43">
        <v>10</v>
      </c>
      <c r="G4" s="37">
        <v>50</v>
      </c>
      <c r="H4" s="42">
        <v>45296</v>
      </c>
      <c r="I4" s="19">
        <f t="shared" ref="I4:I35" si="0">PRODUCT(F4,G4)</f>
        <v>500</v>
      </c>
    </row>
    <row r="5" spans="2:9" ht="15.75" thickBot="1">
      <c r="B5" s="37">
        <v>1002</v>
      </c>
      <c r="C5" s="38" t="s">
        <v>25</v>
      </c>
      <c r="D5" s="38" t="s">
        <v>26</v>
      </c>
      <c r="E5" s="38" t="s">
        <v>27</v>
      </c>
      <c r="F5" s="43">
        <v>20</v>
      </c>
      <c r="G5" s="37">
        <v>10</v>
      </c>
      <c r="H5" s="42">
        <v>45297</v>
      </c>
      <c r="I5" s="19">
        <f t="shared" si="0"/>
        <v>200</v>
      </c>
    </row>
    <row r="6" spans="2:9" ht="15.75" thickBot="1">
      <c r="B6" s="37">
        <v>1003</v>
      </c>
      <c r="C6" s="38" t="s">
        <v>28</v>
      </c>
      <c r="D6" s="38" t="s">
        <v>29</v>
      </c>
      <c r="E6" s="38" t="s">
        <v>30</v>
      </c>
      <c r="F6" s="43">
        <v>15</v>
      </c>
      <c r="G6" s="37">
        <v>25</v>
      </c>
      <c r="H6" s="42">
        <v>45298</v>
      </c>
      <c r="I6" s="19">
        <f t="shared" si="0"/>
        <v>375</v>
      </c>
    </row>
    <row r="7" spans="2:9" ht="15.75" thickBot="1">
      <c r="B7" s="37">
        <v>1004</v>
      </c>
      <c r="C7" s="38" t="s">
        <v>31</v>
      </c>
      <c r="D7" s="38" t="s">
        <v>32</v>
      </c>
      <c r="E7" s="38" t="s">
        <v>24</v>
      </c>
      <c r="F7" s="43">
        <v>5</v>
      </c>
      <c r="G7" s="37">
        <v>50</v>
      </c>
      <c r="H7" s="42">
        <v>45299</v>
      </c>
      <c r="I7" s="19">
        <f t="shared" si="0"/>
        <v>250</v>
      </c>
    </row>
    <row r="8" spans="2:9" ht="15.75" thickBot="1">
      <c r="B8" s="37">
        <v>1005</v>
      </c>
      <c r="C8" s="38" t="s">
        <v>33</v>
      </c>
      <c r="D8" s="38" t="s">
        <v>23</v>
      </c>
      <c r="E8" s="38" t="s">
        <v>34</v>
      </c>
      <c r="F8" s="43">
        <v>30</v>
      </c>
      <c r="G8" s="37">
        <v>5</v>
      </c>
      <c r="H8" s="42">
        <v>45301</v>
      </c>
      <c r="I8" s="19">
        <f t="shared" si="0"/>
        <v>150</v>
      </c>
    </row>
    <row r="9" spans="2:9" ht="15.75" thickBot="1">
      <c r="B9" s="37">
        <v>1006</v>
      </c>
      <c r="C9" s="38" t="s">
        <v>35</v>
      </c>
      <c r="D9" s="38" t="s">
        <v>26</v>
      </c>
      <c r="E9" s="38" t="s">
        <v>24</v>
      </c>
      <c r="F9" s="43">
        <v>12</v>
      </c>
      <c r="G9" s="37">
        <v>50</v>
      </c>
      <c r="H9" s="42">
        <v>45302</v>
      </c>
      <c r="I9" s="19">
        <f t="shared" si="0"/>
        <v>600</v>
      </c>
    </row>
    <row r="10" spans="2:9" ht="15.75" thickBot="1">
      <c r="B10" s="37">
        <v>1007</v>
      </c>
      <c r="C10" s="38" t="s">
        <v>36</v>
      </c>
      <c r="D10" s="38" t="s">
        <v>29</v>
      </c>
      <c r="E10" s="38" t="s">
        <v>37</v>
      </c>
      <c r="F10" s="43">
        <v>25</v>
      </c>
      <c r="G10" s="37">
        <v>8</v>
      </c>
      <c r="H10" s="42">
        <v>45304</v>
      </c>
      <c r="I10" s="19">
        <f t="shared" si="0"/>
        <v>200</v>
      </c>
    </row>
    <row r="11" spans="2:9" ht="15.75" thickBot="1">
      <c r="B11" s="37">
        <v>1008</v>
      </c>
      <c r="C11" s="38" t="s">
        <v>38</v>
      </c>
      <c r="D11" s="38" t="s">
        <v>32</v>
      </c>
      <c r="E11" s="38" t="s">
        <v>27</v>
      </c>
      <c r="F11" s="43">
        <v>18</v>
      </c>
      <c r="G11" s="37">
        <v>10</v>
      </c>
      <c r="H11" s="42">
        <v>45306</v>
      </c>
      <c r="I11" s="19">
        <f t="shared" si="0"/>
        <v>180</v>
      </c>
    </row>
    <row r="12" spans="2:9" ht="15.75" thickBot="1">
      <c r="B12" s="37">
        <v>1009</v>
      </c>
      <c r="C12" s="38" t="s">
        <v>39</v>
      </c>
      <c r="D12" s="38" t="s">
        <v>23</v>
      </c>
      <c r="E12" s="38" t="s">
        <v>30</v>
      </c>
      <c r="F12" s="43">
        <v>22</v>
      </c>
      <c r="G12" s="37">
        <v>25</v>
      </c>
      <c r="H12" s="42">
        <v>45308</v>
      </c>
      <c r="I12" s="19">
        <f t="shared" si="0"/>
        <v>550</v>
      </c>
    </row>
    <row r="13" spans="2:9" ht="15.75" thickBot="1">
      <c r="B13" s="37">
        <v>1010</v>
      </c>
      <c r="C13" s="38" t="s">
        <v>40</v>
      </c>
      <c r="D13" s="38" t="s">
        <v>26</v>
      </c>
      <c r="E13" s="38" t="s">
        <v>24</v>
      </c>
      <c r="F13" s="43">
        <v>8</v>
      </c>
      <c r="G13" s="37">
        <v>50</v>
      </c>
      <c r="H13" s="42">
        <v>45309</v>
      </c>
      <c r="I13" s="19">
        <f t="shared" si="0"/>
        <v>400</v>
      </c>
    </row>
    <row r="14" spans="2:9" ht="15.75" thickBot="1">
      <c r="B14" s="37">
        <v>1011</v>
      </c>
      <c r="C14" s="38" t="s">
        <v>41</v>
      </c>
      <c r="D14" s="38" t="s">
        <v>29</v>
      </c>
      <c r="E14" s="38" t="s">
        <v>34</v>
      </c>
      <c r="F14" s="43">
        <v>40</v>
      </c>
      <c r="G14" s="37">
        <v>5</v>
      </c>
      <c r="H14" s="42">
        <v>45310</v>
      </c>
      <c r="I14" s="19">
        <f t="shared" si="0"/>
        <v>200</v>
      </c>
    </row>
    <row r="15" spans="2:9" ht="15.75" thickBot="1">
      <c r="B15" s="37">
        <v>1012</v>
      </c>
      <c r="C15" s="38" t="s">
        <v>42</v>
      </c>
      <c r="D15" s="38" t="s">
        <v>32</v>
      </c>
      <c r="E15" s="38" t="s">
        <v>37</v>
      </c>
      <c r="F15" s="43">
        <v>35</v>
      </c>
      <c r="G15" s="37">
        <v>8</v>
      </c>
      <c r="H15" s="42">
        <v>45311</v>
      </c>
      <c r="I15" s="19">
        <f t="shared" si="0"/>
        <v>280</v>
      </c>
    </row>
    <row r="16" spans="2:9" ht="15.75" thickBot="1">
      <c r="B16" s="37">
        <v>1013</v>
      </c>
      <c r="C16" s="38" t="s">
        <v>43</v>
      </c>
      <c r="D16" s="38" t="s">
        <v>23</v>
      </c>
      <c r="E16" s="38" t="s">
        <v>24</v>
      </c>
      <c r="F16" s="43">
        <v>14</v>
      </c>
      <c r="G16" s="37">
        <v>50</v>
      </c>
      <c r="H16" s="42">
        <v>45313</v>
      </c>
      <c r="I16" s="19">
        <f t="shared" si="0"/>
        <v>700</v>
      </c>
    </row>
    <row r="17" spans="2:9" ht="15.75" thickBot="1">
      <c r="B17" s="37">
        <v>1014</v>
      </c>
      <c r="C17" s="38" t="s">
        <v>44</v>
      </c>
      <c r="D17" s="38" t="s">
        <v>26</v>
      </c>
      <c r="E17" s="38" t="s">
        <v>27</v>
      </c>
      <c r="F17" s="43">
        <v>28</v>
      </c>
      <c r="G17" s="37">
        <v>10</v>
      </c>
      <c r="H17" s="42">
        <v>45314</v>
      </c>
      <c r="I17" s="19">
        <f t="shared" si="0"/>
        <v>280</v>
      </c>
    </row>
    <row r="18" spans="2:9" ht="15.75" thickBot="1">
      <c r="B18" s="37">
        <v>1015</v>
      </c>
      <c r="C18" s="38" t="s">
        <v>45</v>
      </c>
      <c r="D18" s="38" t="s">
        <v>29</v>
      </c>
      <c r="E18" s="38" t="s">
        <v>30</v>
      </c>
      <c r="F18" s="43">
        <v>12</v>
      </c>
      <c r="G18" s="37">
        <v>25</v>
      </c>
      <c r="H18" s="42">
        <v>45315</v>
      </c>
      <c r="I18" s="19">
        <f t="shared" si="0"/>
        <v>300</v>
      </c>
    </row>
    <row r="19" spans="2:9" ht="15.75" thickBot="1">
      <c r="B19" s="37">
        <v>1016</v>
      </c>
      <c r="C19" s="38" t="s">
        <v>46</v>
      </c>
      <c r="D19" s="38" t="s">
        <v>32</v>
      </c>
      <c r="E19" s="38" t="s">
        <v>34</v>
      </c>
      <c r="F19" s="43">
        <v>25</v>
      </c>
      <c r="G19" s="37">
        <v>5</v>
      </c>
      <c r="H19" s="42">
        <v>45317</v>
      </c>
      <c r="I19" s="19">
        <f t="shared" si="0"/>
        <v>125</v>
      </c>
    </row>
    <row r="20" spans="2:9" ht="15.75" thickBot="1">
      <c r="B20" s="37">
        <v>1017</v>
      </c>
      <c r="C20" s="38" t="s">
        <v>47</v>
      </c>
      <c r="D20" s="38" t="s">
        <v>23</v>
      </c>
      <c r="E20" s="38" t="s">
        <v>37</v>
      </c>
      <c r="F20" s="43">
        <v>20</v>
      </c>
      <c r="G20" s="37">
        <v>8</v>
      </c>
      <c r="H20" s="42">
        <v>45319</v>
      </c>
      <c r="I20" s="19">
        <f t="shared" si="0"/>
        <v>160</v>
      </c>
    </row>
    <row r="21" spans="2:9" ht="15.75" thickBot="1">
      <c r="B21" s="37">
        <v>1018</v>
      </c>
      <c r="C21" s="38" t="s">
        <v>48</v>
      </c>
      <c r="D21" s="38" t="s">
        <v>26</v>
      </c>
      <c r="E21" s="38" t="s">
        <v>24</v>
      </c>
      <c r="F21" s="43">
        <v>10</v>
      </c>
      <c r="G21" s="37">
        <v>50</v>
      </c>
      <c r="H21" s="42">
        <v>45320</v>
      </c>
      <c r="I21" s="19">
        <f t="shared" si="0"/>
        <v>500</v>
      </c>
    </row>
    <row r="22" spans="2:9" ht="15.75" thickBot="1">
      <c r="B22" s="37">
        <v>1019</v>
      </c>
      <c r="C22" s="38" t="s">
        <v>49</v>
      </c>
      <c r="D22" s="38" t="s">
        <v>29</v>
      </c>
      <c r="E22" s="38" t="s">
        <v>27</v>
      </c>
      <c r="F22" s="43">
        <v>15</v>
      </c>
      <c r="G22" s="37">
        <v>10</v>
      </c>
      <c r="H22" s="42">
        <v>45321</v>
      </c>
      <c r="I22" s="19">
        <f t="shared" si="0"/>
        <v>150</v>
      </c>
    </row>
    <row r="23" spans="2:9" ht="15.75" thickBot="1">
      <c r="B23" s="37">
        <v>1020</v>
      </c>
      <c r="C23" s="38" t="s">
        <v>50</v>
      </c>
      <c r="D23" s="38" t="s">
        <v>32</v>
      </c>
      <c r="E23" s="38" t="s">
        <v>30</v>
      </c>
      <c r="F23" s="43">
        <v>18</v>
      </c>
      <c r="G23" s="37">
        <v>25</v>
      </c>
      <c r="H23" s="42">
        <v>45323</v>
      </c>
      <c r="I23" s="19">
        <f t="shared" si="0"/>
        <v>450</v>
      </c>
    </row>
    <row r="24" spans="2:9" ht="15.75" thickBot="1">
      <c r="B24" s="37">
        <v>1021</v>
      </c>
      <c r="C24" s="38" t="s">
        <v>51</v>
      </c>
      <c r="D24" s="38" t="s">
        <v>23</v>
      </c>
      <c r="E24" s="38" t="s">
        <v>24</v>
      </c>
      <c r="F24" s="43">
        <v>9</v>
      </c>
      <c r="G24" s="37">
        <v>50</v>
      </c>
      <c r="H24" s="42">
        <v>45324</v>
      </c>
      <c r="I24" s="19">
        <f t="shared" si="0"/>
        <v>450</v>
      </c>
    </row>
    <row r="25" spans="2:9" ht="15.75" thickBot="1">
      <c r="B25" s="37">
        <v>1022</v>
      </c>
      <c r="C25" s="38" t="s">
        <v>52</v>
      </c>
      <c r="D25" s="38" t="s">
        <v>26</v>
      </c>
      <c r="E25" s="38" t="s">
        <v>34</v>
      </c>
      <c r="F25" s="43">
        <v>35</v>
      </c>
      <c r="G25" s="37">
        <v>5</v>
      </c>
      <c r="H25" s="42">
        <v>45325</v>
      </c>
      <c r="I25" s="19">
        <f t="shared" si="0"/>
        <v>175</v>
      </c>
    </row>
    <row r="26" spans="2:9" ht="15.75" thickBot="1">
      <c r="B26" s="37">
        <v>1023</v>
      </c>
      <c r="C26" s="38" t="s">
        <v>53</v>
      </c>
      <c r="D26" s="38" t="s">
        <v>29</v>
      </c>
      <c r="E26" s="38" t="s">
        <v>37</v>
      </c>
      <c r="F26" s="43">
        <v>30</v>
      </c>
      <c r="G26" s="37">
        <v>8</v>
      </c>
      <c r="H26" s="42">
        <v>45326</v>
      </c>
      <c r="I26" s="19">
        <f t="shared" si="0"/>
        <v>240</v>
      </c>
    </row>
    <row r="27" spans="2:9" ht="15.75" thickBot="1">
      <c r="B27" s="37">
        <v>1024</v>
      </c>
      <c r="C27" s="38" t="s">
        <v>54</v>
      </c>
      <c r="D27" s="38" t="s">
        <v>32</v>
      </c>
      <c r="E27" s="38" t="s">
        <v>24</v>
      </c>
      <c r="F27" s="43">
        <v>11</v>
      </c>
      <c r="G27" s="37">
        <v>50</v>
      </c>
      <c r="H27" s="42">
        <v>45328</v>
      </c>
      <c r="I27" s="19">
        <f t="shared" si="0"/>
        <v>550</v>
      </c>
    </row>
    <row r="28" spans="2:9" ht="15.75" thickBot="1">
      <c r="B28" s="37">
        <v>1025</v>
      </c>
      <c r="C28" s="38" t="s">
        <v>55</v>
      </c>
      <c r="D28" s="38" t="s">
        <v>23</v>
      </c>
      <c r="E28" s="38" t="s">
        <v>27</v>
      </c>
      <c r="F28" s="43">
        <v>14</v>
      </c>
      <c r="G28" s="37">
        <v>10</v>
      </c>
      <c r="H28" s="42">
        <v>45329</v>
      </c>
      <c r="I28" s="19">
        <f t="shared" si="0"/>
        <v>140</v>
      </c>
    </row>
    <row r="29" spans="2:9" ht="15.75" thickBot="1">
      <c r="B29" s="37">
        <v>1026</v>
      </c>
      <c r="C29" s="38" t="s">
        <v>56</v>
      </c>
      <c r="D29" s="38" t="s">
        <v>26</v>
      </c>
      <c r="E29" s="38" t="s">
        <v>30</v>
      </c>
      <c r="F29" s="43">
        <v>16</v>
      </c>
      <c r="G29" s="37">
        <v>25</v>
      </c>
      <c r="H29" s="42">
        <v>45330</v>
      </c>
      <c r="I29" s="19">
        <f t="shared" si="0"/>
        <v>400</v>
      </c>
    </row>
    <row r="30" spans="2:9" ht="15.75" thickBot="1">
      <c r="B30" s="37">
        <v>1027</v>
      </c>
      <c r="C30" s="38" t="s">
        <v>57</v>
      </c>
      <c r="D30" s="38" t="s">
        <v>29</v>
      </c>
      <c r="E30" s="38" t="s">
        <v>34</v>
      </c>
      <c r="F30" s="43">
        <v>22</v>
      </c>
      <c r="G30" s="37">
        <v>5</v>
      </c>
      <c r="H30" s="42">
        <v>45331</v>
      </c>
      <c r="I30" s="19">
        <f t="shared" si="0"/>
        <v>110</v>
      </c>
    </row>
    <row r="31" spans="2:9" ht="15.75" thickBot="1">
      <c r="B31" s="37">
        <v>1028</v>
      </c>
      <c r="C31" s="38" t="s">
        <v>58</v>
      </c>
      <c r="D31" s="38" t="s">
        <v>32</v>
      </c>
      <c r="E31" s="38" t="s">
        <v>37</v>
      </c>
      <c r="F31" s="43">
        <v>27</v>
      </c>
      <c r="G31" s="37">
        <v>8</v>
      </c>
      <c r="H31" s="42">
        <v>45332</v>
      </c>
      <c r="I31" s="19">
        <f t="shared" si="0"/>
        <v>216</v>
      </c>
    </row>
    <row r="32" spans="2:9" ht="15.75" thickBot="1">
      <c r="B32" s="37">
        <v>1029</v>
      </c>
      <c r="C32" s="38" t="s">
        <v>59</v>
      </c>
      <c r="D32" s="38" t="s">
        <v>23</v>
      </c>
      <c r="E32" s="38" t="s">
        <v>24</v>
      </c>
      <c r="F32" s="43">
        <v>13</v>
      </c>
      <c r="G32" s="37">
        <v>50</v>
      </c>
      <c r="H32" s="42">
        <v>45334</v>
      </c>
      <c r="I32" s="19">
        <f t="shared" si="0"/>
        <v>650</v>
      </c>
    </row>
    <row r="33" spans="2:9" ht="15.75" thickBot="1">
      <c r="B33" s="37">
        <v>1030</v>
      </c>
      <c r="C33" s="38" t="s">
        <v>60</v>
      </c>
      <c r="D33" s="38" t="s">
        <v>26</v>
      </c>
      <c r="E33" s="38" t="s">
        <v>27</v>
      </c>
      <c r="F33" s="43">
        <v>32</v>
      </c>
      <c r="G33" s="37">
        <v>10</v>
      </c>
      <c r="H33" s="42">
        <v>45335</v>
      </c>
      <c r="I33" s="19">
        <f t="shared" si="0"/>
        <v>320</v>
      </c>
    </row>
    <row r="34" spans="2:9" ht="15.75" thickBot="1">
      <c r="B34" s="37">
        <v>1031</v>
      </c>
      <c r="C34" s="38" t="s">
        <v>61</v>
      </c>
      <c r="D34" s="38" t="s">
        <v>29</v>
      </c>
      <c r="E34" s="38" t="s">
        <v>30</v>
      </c>
      <c r="F34" s="43">
        <v>10</v>
      </c>
      <c r="G34" s="37">
        <v>25</v>
      </c>
      <c r="H34" s="42">
        <v>45336</v>
      </c>
      <c r="I34" s="19">
        <f t="shared" si="0"/>
        <v>250</v>
      </c>
    </row>
    <row r="35" spans="2:9" ht="15.75" thickBot="1">
      <c r="B35" s="37">
        <v>1032</v>
      </c>
      <c r="C35" s="38" t="s">
        <v>62</v>
      </c>
      <c r="D35" s="38" t="s">
        <v>32</v>
      </c>
      <c r="E35" s="38" t="s">
        <v>34</v>
      </c>
      <c r="F35" s="43">
        <v>18</v>
      </c>
      <c r="G35" s="37">
        <v>5</v>
      </c>
      <c r="H35" s="42">
        <v>45338</v>
      </c>
      <c r="I35" s="19">
        <f t="shared" si="0"/>
        <v>90</v>
      </c>
    </row>
    <row r="36" spans="2:9" ht="15.75" thickBot="1">
      <c r="B36" s="37">
        <v>1033</v>
      </c>
      <c r="C36" s="38" t="s">
        <v>63</v>
      </c>
      <c r="D36" s="38" t="s">
        <v>23</v>
      </c>
      <c r="E36" s="38" t="s">
        <v>37</v>
      </c>
      <c r="F36" s="43">
        <v>22</v>
      </c>
      <c r="G36" s="37">
        <v>8</v>
      </c>
      <c r="H36" s="42">
        <v>45339</v>
      </c>
      <c r="I36" s="19">
        <f t="shared" ref="I36:I53" si="1">PRODUCT(F36,G36)</f>
        <v>176</v>
      </c>
    </row>
    <row r="37" spans="2:9" ht="15.75" thickBot="1">
      <c r="B37" s="37">
        <v>1034</v>
      </c>
      <c r="C37" s="38" t="s">
        <v>64</v>
      </c>
      <c r="D37" s="38" t="s">
        <v>26</v>
      </c>
      <c r="E37" s="38" t="s">
        <v>24</v>
      </c>
      <c r="F37" s="43">
        <v>17</v>
      </c>
      <c r="G37" s="37">
        <v>50</v>
      </c>
      <c r="H37" s="42">
        <v>45340</v>
      </c>
      <c r="I37" s="19">
        <f t="shared" si="1"/>
        <v>850</v>
      </c>
    </row>
    <row r="38" spans="2:9" ht="15.75" thickBot="1">
      <c r="B38" s="37">
        <v>1035</v>
      </c>
      <c r="C38" s="38" t="s">
        <v>65</v>
      </c>
      <c r="D38" s="38" t="s">
        <v>29</v>
      </c>
      <c r="E38" s="38" t="s">
        <v>27</v>
      </c>
      <c r="F38" s="43">
        <v>19</v>
      </c>
      <c r="G38" s="37">
        <v>10</v>
      </c>
      <c r="H38" s="42">
        <v>45341</v>
      </c>
      <c r="I38" s="19">
        <f t="shared" si="1"/>
        <v>190</v>
      </c>
    </row>
    <row r="39" spans="2:9" ht="15.75" thickBot="1">
      <c r="B39" s="37">
        <v>1036</v>
      </c>
      <c r="C39" s="38" t="s">
        <v>66</v>
      </c>
      <c r="D39" s="38" t="s">
        <v>32</v>
      </c>
      <c r="E39" s="38" t="s">
        <v>30</v>
      </c>
      <c r="F39" s="43">
        <v>15</v>
      </c>
      <c r="G39" s="37">
        <v>25</v>
      </c>
      <c r="H39" s="42">
        <v>45343</v>
      </c>
      <c r="I39" s="19">
        <f t="shared" si="1"/>
        <v>375</v>
      </c>
    </row>
    <row r="40" spans="2:9" ht="15.75" thickBot="1">
      <c r="B40" s="37">
        <v>1037</v>
      </c>
      <c r="C40" s="38" t="s">
        <v>67</v>
      </c>
      <c r="D40" s="38" t="s">
        <v>23</v>
      </c>
      <c r="E40" s="38" t="s">
        <v>34</v>
      </c>
      <c r="F40" s="43">
        <v>28</v>
      </c>
      <c r="G40" s="37">
        <v>5</v>
      </c>
      <c r="H40" s="42">
        <v>45344</v>
      </c>
      <c r="I40" s="19">
        <f t="shared" si="1"/>
        <v>140</v>
      </c>
    </row>
    <row r="41" spans="2:9" ht="15.75" thickBot="1">
      <c r="B41" s="37">
        <v>1038</v>
      </c>
      <c r="C41" s="38" t="s">
        <v>68</v>
      </c>
      <c r="D41" s="38" t="s">
        <v>26</v>
      </c>
      <c r="E41" s="38" t="s">
        <v>37</v>
      </c>
      <c r="F41" s="43">
        <v>24</v>
      </c>
      <c r="G41" s="37">
        <v>8</v>
      </c>
      <c r="H41" s="42">
        <v>45345</v>
      </c>
      <c r="I41" s="19">
        <f t="shared" si="1"/>
        <v>192</v>
      </c>
    </row>
    <row r="42" spans="2:9" ht="15.75" thickBot="1">
      <c r="B42" s="37">
        <v>1039</v>
      </c>
      <c r="C42" s="38" t="s">
        <v>69</v>
      </c>
      <c r="D42" s="38" t="s">
        <v>29</v>
      </c>
      <c r="E42" s="38" t="s">
        <v>24</v>
      </c>
      <c r="F42" s="43">
        <v>16</v>
      </c>
      <c r="G42" s="37">
        <v>50</v>
      </c>
      <c r="H42" s="42">
        <v>45347</v>
      </c>
      <c r="I42" s="19">
        <f>PRODUCT(F42,G42)</f>
        <v>800</v>
      </c>
    </row>
    <row r="43" spans="2:9" ht="15.75" thickBot="1">
      <c r="B43" s="37">
        <v>1040</v>
      </c>
      <c r="C43" s="38" t="s">
        <v>70</v>
      </c>
      <c r="D43" s="38" t="s">
        <v>32</v>
      </c>
      <c r="E43" s="38" t="s">
        <v>27</v>
      </c>
      <c r="F43" s="43">
        <v>27</v>
      </c>
      <c r="G43" s="37">
        <v>10</v>
      </c>
      <c r="H43" s="42">
        <v>45348</v>
      </c>
      <c r="I43" s="19">
        <f t="shared" si="1"/>
        <v>270</v>
      </c>
    </row>
    <row r="44" spans="2:9" ht="15.75" thickBot="1">
      <c r="B44" s="37">
        <v>1041</v>
      </c>
      <c r="C44" s="38" t="s">
        <v>71</v>
      </c>
      <c r="D44" s="38" t="s">
        <v>23</v>
      </c>
      <c r="E44" s="38" t="s">
        <v>30</v>
      </c>
      <c r="F44" s="43">
        <v>21</v>
      </c>
      <c r="G44" s="37">
        <v>25</v>
      </c>
      <c r="H44" s="42">
        <v>45349</v>
      </c>
      <c r="I44" s="19">
        <f t="shared" si="1"/>
        <v>525</v>
      </c>
    </row>
    <row r="45" spans="2:9" ht="15.75" thickBot="1">
      <c r="B45" s="37">
        <v>1042</v>
      </c>
      <c r="C45" s="38" t="s">
        <v>72</v>
      </c>
      <c r="D45" s="38" t="s">
        <v>26</v>
      </c>
      <c r="E45" s="38" t="s">
        <v>34</v>
      </c>
      <c r="F45" s="43">
        <v>30</v>
      </c>
      <c r="G45" s="37">
        <v>5</v>
      </c>
      <c r="H45" s="42">
        <v>45350</v>
      </c>
      <c r="I45" s="19">
        <f t="shared" si="1"/>
        <v>150</v>
      </c>
    </row>
    <row r="46" spans="2:9" ht="15.75" thickBot="1">
      <c r="B46" s="37">
        <v>1043</v>
      </c>
      <c r="C46" s="38" t="s">
        <v>73</v>
      </c>
      <c r="D46" s="38" t="s">
        <v>29</v>
      </c>
      <c r="E46" s="38" t="s">
        <v>37</v>
      </c>
      <c r="F46" s="43">
        <v>26</v>
      </c>
      <c r="G46" s="37">
        <v>8</v>
      </c>
      <c r="H46" s="42">
        <v>45352</v>
      </c>
      <c r="I46" s="19">
        <f t="shared" si="1"/>
        <v>208</v>
      </c>
    </row>
    <row r="47" spans="2:9" ht="15.75" thickBot="1">
      <c r="B47" s="37">
        <v>1044</v>
      </c>
      <c r="C47" s="38" t="s">
        <v>74</v>
      </c>
      <c r="D47" s="38" t="s">
        <v>32</v>
      </c>
      <c r="E47" s="38" t="s">
        <v>24</v>
      </c>
      <c r="F47" s="43">
        <v>14</v>
      </c>
      <c r="G47" s="37">
        <v>50</v>
      </c>
      <c r="H47" s="42">
        <v>45353</v>
      </c>
      <c r="I47" s="19">
        <f t="shared" si="1"/>
        <v>700</v>
      </c>
    </row>
    <row r="48" spans="2:9" ht="15.75" thickBot="1">
      <c r="B48" s="37">
        <v>1045</v>
      </c>
      <c r="C48" s="38" t="s">
        <v>75</v>
      </c>
      <c r="D48" s="38" t="s">
        <v>23</v>
      </c>
      <c r="E48" s="38" t="s">
        <v>27</v>
      </c>
      <c r="F48" s="43">
        <v>20</v>
      </c>
      <c r="G48" s="37">
        <v>10</v>
      </c>
      <c r="H48" s="42">
        <v>45354</v>
      </c>
      <c r="I48" s="19">
        <f t="shared" si="1"/>
        <v>200</v>
      </c>
    </row>
    <row r="49" spans="2:9" ht="15.75" thickBot="1">
      <c r="B49" s="37">
        <v>1046</v>
      </c>
      <c r="C49" s="38" t="s">
        <v>76</v>
      </c>
      <c r="D49" s="38" t="s">
        <v>26</v>
      </c>
      <c r="E49" s="38" t="s">
        <v>30</v>
      </c>
      <c r="F49" s="43">
        <v>17</v>
      </c>
      <c r="G49" s="37">
        <v>25</v>
      </c>
      <c r="H49" s="42">
        <v>45355</v>
      </c>
      <c r="I49" s="19">
        <f>PRODUCT(F49,G49)</f>
        <v>425</v>
      </c>
    </row>
    <row r="50" spans="2:9" ht="15.75" thickBot="1">
      <c r="B50" s="37">
        <v>1047</v>
      </c>
      <c r="C50" s="38" t="s">
        <v>77</v>
      </c>
      <c r="D50" s="38" t="s">
        <v>29</v>
      </c>
      <c r="E50" s="38" t="s">
        <v>34</v>
      </c>
      <c r="F50" s="43">
        <v>19</v>
      </c>
      <c r="G50" s="37">
        <v>5</v>
      </c>
      <c r="H50" s="42">
        <v>45356</v>
      </c>
      <c r="I50" s="19">
        <f t="shared" si="1"/>
        <v>95</v>
      </c>
    </row>
    <row r="51" spans="2:9" ht="15.75" thickBot="1">
      <c r="B51" s="37">
        <v>1048</v>
      </c>
      <c r="C51" s="38" t="s">
        <v>78</v>
      </c>
      <c r="D51" s="38" t="s">
        <v>32</v>
      </c>
      <c r="E51" s="38" t="s">
        <v>37</v>
      </c>
      <c r="F51" s="43">
        <v>32</v>
      </c>
      <c r="G51" s="37">
        <v>8</v>
      </c>
      <c r="H51" s="42">
        <v>45357</v>
      </c>
      <c r="I51" s="19">
        <f t="shared" si="1"/>
        <v>256</v>
      </c>
    </row>
    <row r="52" spans="2:9" ht="15.75" thickBot="1">
      <c r="B52" s="37">
        <v>1049</v>
      </c>
      <c r="C52" s="38" t="s">
        <v>79</v>
      </c>
      <c r="D52" s="38" t="s">
        <v>23</v>
      </c>
      <c r="E52" s="38" t="s">
        <v>24</v>
      </c>
      <c r="F52" s="43">
        <v>12</v>
      </c>
      <c r="G52" s="37">
        <v>50</v>
      </c>
      <c r="H52" s="42">
        <v>45358</v>
      </c>
      <c r="I52" s="19">
        <f t="shared" si="1"/>
        <v>600</v>
      </c>
    </row>
    <row r="53" spans="2:9" ht="15.75" thickBot="1">
      <c r="B53" s="37">
        <v>1050</v>
      </c>
      <c r="C53" s="38" t="s">
        <v>80</v>
      </c>
      <c r="D53" s="38" t="s">
        <v>26</v>
      </c>
      <c r="E53" s="38" t="s">
        <v>27</v>
      </c>
      <c r="F53" s="43">
        <v>25</v>
      </c>
      <c r="G53" s="37">
        <v>10</v>
      </c>
      <c r="H53" s="42">
        <v>45359</v>
      </c>
      <c r="I53" s="19">
        <f t="shared" si="1"/>
        <v>250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2:J54"/>
  <sheetViews>
    <sheetView zoomScale="55" zoomScaleNormal="55" workbookViewId="0">
      <selection activeCell="O5" sqref="O5"/>
    </sheetView>
  </sheetViews>
  <sheetFormatPr defaultRowHeight="14.25"/>
  <cols>
    <col min="5" max="5" width="10.625" customWidth="1"/>
    <col min="8" max="8" width="12.75" customWidth="1"/>
  </cols>
  <sheetData>
    <row r="2" spans="2:10" ht="18">
      <c r="B2" s="23" t="s">
        <v>98</v>
      </c>
      <c r="C2" s="23"/>
      <c r="D2" s="23"/>
      <c r="E2" s="23"/>
      <c r="F2" s="23"/>
      <c r="G2" s="8"/>
    </row>
    <row r="4" spans="2:10" ht="30"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J4" s="18" t="s">
        <v>86</v>
      </c>
    </row>
    <row r="5" spans="2:10" ht="30">
      <c r="B5" s="11">
        <v>1001</v>
      </c>
      <c r="C5" s="12" t="s">
        <v>22</v>
      </c>
      <c r="D5" s="12" t="s">
        <v>23</v>
      </c>
      <c r="E5" s="12" t="s">
        <v>24</v>
      </c>
      <c r="F5" s="11">
        <v>10</v>
      </c>
      <c r="G5" s="11">
        <v>50</v>
      </c>
      <c r="H5" s="13">
        <v>45296</v>
      </c>
      <c r="J5" s="19">
        <f>PRODUCT(F5:G5)</f>
        <v>500</v>
      </c>
    </row>
    <row r="6" spans="2:10" ht="30">
      <c r="B6" s="11">
        <v>1002</v>
      </c>
      <c r="C6" s="12" t="s">
        <v>25</v>
      </c>
      <c r="D6" s="12" t="s">
        <v>26</v>
      </c>
      <c r="E6" s="12" t="s">
        <v>27</v>
      </c>
      <c r="F6" s="11">
        <v>20</v>
      </c>
      <c r="G6" s="11">
        <v>10</v>
      </c>
      <c r="H6" s="13">
        <v>45297</v>
      </c>
      <c r="J6" s="19">
        <v>200</v>
      </c>
    </row>
    <row r="7" spans="2:10" ht="30">
      <c r="B7" s="11">
        <v>1003</v>
      </c>
      <c r="C7" s="12" t="s">
        <v>28</v>
      </c>
      <c r="D7" s="12" t="s">
        <v>29</v>
      </c>
      <c r="E7" s="12" t="s">
        <v>30</v>
      </c>
      <c r="F7" s="11">
        <v>15</v>
      </c>
      <c r="G7" s="11">
        <v>25</v>
      </c>
      <c r="H7" s="13">
        <v>45298</v>
      </c>
      <c r="J7" s="19">
        <v>375</v>
      </c>
    </row>
    <row r="8" spans="2:10" ht="30">
      <c r="B8" s="11">
        <v>1004</v>
      </c>
      <c r="C8" s="12" t="s">
        <v>31</v>
      </c>
      <c r="D8" s="12" t="s">
        <v>32</v>
      </c>
      <c r="E8" s="12" t="s">
        <v>24</v>
      </c>
      <c r="F8" s="11">
        <v>5</v>
      </c>
      <c r="G8" s="11">
        <v>50</v>
      </c>
      <c r="H8" s="13">
        <v>45299</v>
      </c>
      <c r="J8" s="19">
        <v>250</v>
      </c>
    </row>
    <row r="9" spans="2:10" ht="15">
      <c r="B9" s="11">
        <v>1005</v>
      </c>
      <c r="C9" s="12" t="s">
        <v>33</v>
      </c>
      <c r="D9" s="12" t="s">
        <v>23</v>
      </c>
      <c r="E9" s="12" t="s">
        <v>34</v>
      </c>
      <c r="F9" s="11">
        <v>30</v>
      </c>
      <c r="G9" s="11">
        <v>5</v>
      </c>
      <c r="H9" s="13">
        <v>45301</v>
      </c>
      <c r="J9" s="19">
        <v>150</v>
      </c>
    </row>
    <row r="10" spans="2:10" ht="30">
      <c r="B10" s="11">
        <v>1006</v>
      </c>
      <c r="C10" s="12" t="s">
        <v>35</v>
      </c>
      <c r="D10" s="12" t="s">
        <v>26</v>
      </c>
      <c r="E10" s="12" t="s">
        <v>24</v>
      </c>
      <c r="F10" s="11">
        <v>12</v>
      </c>
      <c r="G10" s="11">
        <v>50</v>
      </c>
      <c r="H10" s="13">
        <v>45302</v>
      </c>
      <c r="J10" s="19">
        <v>600</v>
      </c>
    </row>
    <row r="11" spans="2:10" ht="30">
      <c r="B11" s="11">
        <v>1007</v>
      </c>
      <c r="C11" s="12" t="s">
        <v>36</v>
      </c>
      <c r="D11" s="12" t="s">
        <v>29</v>
      </c>
      <c r="E11" s="12" t="s">
        <v>37</v>
      </c>
      <c r="F11" s="11">
        <v>25</v>
      </c>
      <c r="G11" s="11">
        <v>8</v>
      </c>
      <c r="H11" s="13">
        <v>45304</v>
      </c>
      <c r="J11" s="19">
        <v>200</v>
      </c>
    </row>
    <row r="12" spans="2:10" ht="30">
      <c r="B12" s="11">
        <v>1008</v>
      </c>
      <c r="C12" s="12" t="s">
        <v>38</v>
      </c>
      <c r="D12" s="12" t="s">
        <v>32</v>
      </c>
      <c r="E12" s="12" t="s">
        <v>27</v>
      </c>
      <c r="F12" s="11">
        <v>18</v>
      </c>
      <c r="G12" s="11">
        <v>10</v>
      </c>
      <c r="H12" s="13">
        <v>45306</v>
      </c>
      <c r="J12" s="19">
        <v>180</v>
      </c>
    </row>
    <row r="13" spans="2:10" ht="15">
      <c r="B13" s="11">
        <v>1009</v>
      </c>
      <c r="C13" s="12" t="s">
        <v>39</v>
      </c>
      <c r="D13" s="12" t="s">
        <v>23</v>
      </c>
      <c r="E13" s="12" t="s">
        <v>30</v>
      </c>
      <c r="F13" s="11">
        <v>22</v>
      </c>
      <c r="G13" s="11">
        <v>25</v>
      </c>
      <c r="H13" s="13">
        <v>45308</v>
      </c>
      <c r="J13" s="19">
        <v>550</v>
      </c>
    </row>
    <row r="14" spans="2:10" ht="15">
      <c r="B14" s="11">
        <v>1010</v>
      </c>
      <c r="C14" s="12" t="s">
        <v>40</v>
      </c>
      <c r="D14" s="12" t="s">
        <v>26</v>
      </c>
      <c r="E14" s="12" t="s">
        <v>24</v>
      </c>
      <c r="F14" s="11">
        <v>8</v>
      </c>
      <c r="G14" s="11">
        <v>50</v>
      </c>
      <c r="H14" s="13">
        <v>45309</v>
      </c>
      <c r="J14" s="19">
        <v>400</v>
      </c>
    </row>
    <row r="15" spans="2:10" ht="15">
      <c r="B15" s="11">
        <v>1011</v>
      </c>
      <c r="C15" s="12" t="s">
        <v>41</v>
      </c>
      <c r="D15" s="12" t="s">
        <v>29</v>
      </c>
      <c r="E15" s="12" t="s">
        <v>34</v>
      </c>
      <c r="F15" s="11">
        <v>40</v>
      </c>
      <c r="G15" s="11">
        <v>5</v>
      </c>
      <c r="H15" s="13">
        <v>45310</v>
      </c>
      <c r="J15" s="19">
        <v>200</v>
      </c>
    </row>
    <row r="16" spans="2:10" ht="30">
      <c r="B16" s="11">
        <v>1012</v>
      </c>
      <c r="C16" s="12" t="s">
        <v>42</v>
      </c>
      <c r="D16" s="12" t="s">
        <v>32</v>
      </c>
      <c r="E16" s="12" t="s">
        <v>37</v>
      </c>
      <c r="F16" s="11">
        <v>35</v>
      </c>
      <c r="G16" s="11">
        <v>8</v>
      </c>
      <c r="H16" s="13">
        <v>45311</v>
      </c>
      <c r="J16" s="19">
        <v>28</v>
      </c>
    </row>
    <row r="17" spans="2:10" ht="30">
      <c r="B17" s="11">
        <v>1013</v>
      </c>
      <c r="C17" s="12" t="s">
        <v>43</v>
      </c>
      <c r="D17" s="12" t="s">
        <v>23</v>
      </c>
      <c r="E17" s="12" t="s">
        <v>24</v>
      </c>
      <c r="F17" s="11">
        <v>14</v>
      </c>
      <c r="G17" s="11">
        <v>50</v>
      </c>
      <c r="H17" s="13">
        <v>45313</v>
      </c>
      <c r="J17" s="19">
        <v>700</v>
      </c>
    </row>
    <row r="18" spans="2:10" ht="30">
      <c r="B18" s="11">
        <v>1014</v>
      </c>
      <c r="C18" s="12" t="s">
        <v>44</v>
      </c>
      <c r="D18" s="12" t="s">
        <v>26</v>
      </c>
      <c r="E18" s="12" t="s">
        <v>27</v>
      </c>
      <c r="F18" s="11">
        <v>28</v>
      </c>
      <c r="G18" s="11">
        <v>10</v>
      </c>
      <c r="H18" s="13">
        <v>45314</v>
      </c>
      <c r="J18" s="19">
        <v>280</v>
      </c>
    </row>
    <row r="19" spans="2:10" ht="30">
      <c r="B19" s="11">
        <v>1015</v>
      </c>
      <c r="C19" s="12" t="s">
        <v>45</v>
      </c>
      <c r="D19" s="12" t="s">
        <v>29</v>
      </c>
      <c r="E19" s="12" t="s">
        <v>30</v>
      </c>
      <c r="F19" s="11">
        <v>12</v>
      </c>
      <c r="G19" s="11">
        <v>25</v>
      </c>
      <c r="H19" s="13">
        <v>45315</v>
      </c>
      <c r="J19" s="19">
        <v>300</v>
      </c>
    </row>
    <row r="20" spans="2:10" ht="30">
      <c r="B20" s="11">
        <v>1016</v>
      </c>
      <c r="C20" s="12" t="s">
        <v>46</v>
      </c>
      <c r="D20" s="12" t="s">
        <v>32</v>
      </c>
      <c r="E20" s="12" t="s">
        <v>34</v>
      </c>
      <c r="F20" s="11">
        <v>25</v>
      </c>
      <c r="G20" s="11">
        <v>5</v>
      </c>
      <c r="H20" s="13">
        <v>45317</v>
      </c>
      <c r="J20" s="19">
        <v>125</v>
      </c>
    </row>
    <row r="21" spans="2:10" ht="30">
      <c r="B21" s="11">
        <v>1017</v>
      </c>
      <c r="C21" s="12" t="s">
        <v>47</v>
      </c>
      <c r="D21" s="12" t="s">
        <v>23</v>
      </c>
      <c r="E21" s="12" t="s">
        <v>37</v>
      </c>
      <c r="F21" s="11">
        <v>20</v>
      </c>
      <c r="G21" s="11">
        <v>8</v>
      </c>
      <c r="H21" s="13">
        <v>45319</v>
      </c>
      <c r="J21" s="19">
        <v>160</v>
      </c>
    </row>
    <row r="22" spans="2:10" ht="30">
      <c r="B22" s="11">
        <v>1018</v>
      </c>
      <c r="C22" s="12" t="s">
        <v>48</v>
      </c>
      <c r="D22" s="12" t="s">
        <v>26</v>
      </c>
      <c r="E22" s="12" t="s">
        <v>24</v>
      </c>
      <c r="F22" s="11">
        <v>10</v>
      </c>
      <c r="G22" s="11">
        <v>50</v>
      </c>
      <c r="H22" s="13">
        <v>45320</v>
      </c>
      <c r="J22" s="19">
        <v>500</v>
      </c>
    </row>
    <row r="23" spans="2:10" ht="30">
      <c r="B23" s="11">
        <v>1019</v>
      </c>
      <c r="C23" s="12" t="s">
        <v>49</v>
      </c>
      <c r="D23" s="12" t="s">
        <v>29</v>
      </c>
      <c r="E23" s="12" t="s">
        <v>27</v>
      </c>
      <c r="F23" s="11">
        <v>15</v>
      </c>
      <c r="G23" s="11">
        <v>10</v>
      </c>
      <c r="H23" s="13">
        <v>45321</v>
      </c>
      <c r="J23" s="19">
        <v>150</v>
      </c>
    </row>
    <row r="24" spans="2:10" ht="30">
      <c r="B24" s="11">
        <v>1020</v>
      </c>
      <c r="C24" s="12" t="s">
        <v>50</v>
      </c>
      <c r="D24" s="12" t="s">
        <v>32</v>
      </c>
      <c r="E24" s="12" t="s">
        <v>30</v>
      </c>
      <c r="F24" s="11">
        <v>18</v>
      </c>
      <c r="G24" s="11">
        <v>25</v>
      </c>
      <c r="H24" s="13">
        <v>45323</v>
      </c>
      <c r="J24" s="19">
        <f>PRODUCT(F24,G24)</f>
        <v>450</v>
      </c>
    </row>
    <row r="25" spans="2:10" ht="30">
      <c r="B25" s="11">
        <v>1021</v>
      </c>
      <c r="C25" s="12" t="s">
        <v>51</v>
      </c>
      <c r="D25" s="12" t="s">
        <v>23</v>
      </c>
      <c r="E25" s="12" t="s">
        <v>24</v>
      </c>
      <c r="F25" s="11">
        <v>9</v>
      </c>
      <c r="G25" s="11">
        <v>50</v>
      </c>
      <c r="H25" s="13">
        <v>45324</v>
      </c>
      <c r="J25" s="19">
        <v>450</v>
      </c>
    </row>
    <row r="26" spans="2:10" ht="30">
      <c r="B26" s="11">
        <v>1022</v>
      </c>
      <c r="C26" s="12" t="s">
        <v>52</v>
      </c>
      <c r="D26" s="12" t="s">
        <v>26</v>
      </c>
      <c r="E26" s="12" t="s">
        <v>34</v>
      </c>
      <c r="F26" s="11">
        <v>35</v>
      </c>
      <c r="G26" s="11">
        <v>5</v>
      </c>
      <c r="H26" s="13">
        <v>45325</v>
      </c>
      <c r="J26" s="19">
        <f>PRODUCT(F26,G26)</f>
        <v>175</v>
      </c>
    </row>
    <row r="27" spans="2:10" ht="30">
      <c r="B27" s="11">
        <v>1023</v>
      </c>
      <c r="C27" s="12" t="s">
        <v>53</v>
      </c>
      <c r="D27" s="12" t="s">
        <v>29</v>
      </c>
      <c r="E27" s="12" t="s">
        <v>37</v>
      </c>
      <c r="F27" s="11">
        <v>30</v>
      </c>
      <c r="G27" s="11">
        <v>8</v>
      </c>
      <c r="H27" s="13">
        <v>45326</v>
      </c>
      <c r="J27" s="19">
        <v>240</v>
      </c>
    </row>
    <row r="28" spans="2:10" ht="30">
      <c r="B28" s="11">
        <v>1024</v>
      </c>
      <c r="C28" s="12" t="s">
        <v>54</v>
      </c>
      <c r="D28" s="12" t="s">
        <v>32</v>
      </c>
      <c r="E28" s="12" t="s">
        <v>24</v>
      </c>
      <c r="F28" s="11">
        <v>11</v>
      </c>
      <c r="G28" s="11">
        <v>50</v>
      </c>
      <c r="H28" s="13">
        <v>45328</v>
      </c>
      <c r="J28" s="19">
        <v>550</v>
      </c>
    </row>
    <row r="29" spans="2:10" ht="30">
      <c r="B29" s="11">
        <v>1025</v>
      </c>
      <c r="C29" s="12" t="s">
        <v>55</v>
      </c>
      <c r="D29" s="12" t="s">
        <v>23</v>
      </c>
      <c r="E29" s="12" t="s">
        <v>27</v>
      </c>
      <c r="F29" s="11">
        <v>14</v>
      </c>
      <c r="G29" s="11">
        <v>10</v>
      </c>
      <c r="H29" s="13">
        <v>45329</v>
      </c>
      <c r="J29" s="19">
        <v>140</v>
      </c>
    </row>
    <row r="30" spans="2:10" ht="30">
      <c r="B30" s="11">
        <v>1026</v>
      </c>
      <c r="C30" s="12" t="s">
        <v>56</v>
      </c>
      <c r="D30" s="12" t="s">
        <v>26</v>
      </c>
      <c r="E30" s="12" t="s">
        <v>30</v>
      </c>
      <c r="F30" s="11">
        <v>16</v>
      </c>
      <c r="G30" s="11">
        <v>25</v>
      </c>
      <c r="H30" s="13">
        <v>45330</v>
      </c>
      <c r="J30" s="19">
        <f>PRODUCT(F30,G30)</f>
        <v>400</v>
      </c>
    </row>
    <row r="31" spans="2:10" ht="30">
      <c r="B31" s="11">
        <v>1027</v>
      </c>
      <c r="C31" s="12" t="s">
        <v>57</v>
      </c>
      <c r="D31" s="12" t="s">
        <v>29</v>
      </c>
      <c r="E31" s="12" t="s">
        <v>34</v>
      </c>
      <c r="F31" s="11">
        <v>22</v>
      </c>
      <c r="G31" s="11">
        <v>5</v>
      </c>
      <c r="H31" s="13">
        <v>45331</v>
      </c>
      <c r="J31" s="19">
        <f>PRODUCT(F31,G31)</f>
        <v>110</v>
      </c>
    </row>
    <row r="32" spans="2:10" ht="30">
      <c r="B32" s="11">
        <v>1028</v>
      </c>
      <c r="C32" s="12" t="s">
        <v>58</v>
      </c>
      <c r="D32" s="12" t="s">
        <v>32</v>
      </c>
      <c r="E32" s="12" t="s">
        <v>37</v>
      </c>
      <c r="F32" s="11">
        <v>27</v>
      </c>
      <c r="G32" s="11">
        <v>8</v>
      </c>
      <c r="H32" s="13">
        <v>45332</v>
      </c>
      <c r="J32" s="19">
        <f>PRODUCT(F32,G32)</f>
        <v>216</v>
      </c>
    </row>
    <row r="33" spans="2:10" ht="30">
      <c r="B33" s="11">
        <v>1029</v>
      </c>
      <c r="C33" s="12" t="s">
        <v>59</v>
      </c>
      <c r="D33" s="12" t="s">
        <v>23</v>
      </c>
      <c r="E33" s="12" t="s">
        <v>24</v>
      </c>
      <c r="F33" s="11">
        <v>13</v>
      </c>
      <c r="G33" s="11">
        <v>50</v>
      </c>
      <c r="H33" s="13">
        <v>45334</v>
      </c>
      <c r="J33" s="19">
        <v>650</v>
      </c>
    </row>
    <row r="34" spans="2:10" ht="30">
      <c r="B34" s="11">
        <v>1030</v>
      </c>
      <c r="C34" s="12" t="s">
        <v>60</v>
      </c>
      <c r="D34" s="12" t="s">
        <v>26</v>
      </c>
      <c r="E34" s="12" t="s">
        <v>27</v>
      </c>
      <c r="F34" s="11">
        <v>32</v>
      </c>
      <c r="G34" s="11">
        <v>10</v>
      </c>
      <c r="H34" s="13">
        <v>45335</v>
      </c>
      <c r="J34" s="19">
        <v>320</v>
      </c>
    </row>
    <row r="35" spans="2:10" ht="30">
      <c r="B35" s="11">
        <v>1031</v>
      </c>
      <c r="C35" s="12" t="s">
        <v>61</v>
      </c>
      <c r="D35" s="12" t="s">
        <v>29</v>
      </c>
      <c r="E35" s="12" t="s">
        <v>30</v>
      </c>
      <c r="F35" s="11">
        <v>10</v>
      </c>
      <c r="G35" s="11">
        <v>25</v>
      </c>
      <c r="H35" s="13">
        <v>45336</v>
      </c>
      <c r="J35" s="19">
        <v>250</v>
      </c>
    </row>
    <row r="36" spans="2:10" ht="15">
      <c r="B36" s="11">
        <v>1032</v>
      </c>
      <c r="C36" s="12" t="s">
        <v>62</v>
      </c>
      <c r="D36" s="12" t="s">
        <v>32</v>
      </c>
      <c r="E36" s="12" t="s">
        <v>34</v>
      </c>
      <c r="F36" s="11">
        <v>18</v>
      </c>
      <c r="G36" s="11">
        <v>5</v>
      </c>
      <c r="H36" s="13">
        <v>45338</v>
      </c>
      <c r="J36" s="19">
        <f>PRODUCT(F36,G36)</f>
        <v>90</v>
      </c>
    </row>
    <row r="37" spans="2:10" ht="30">
      <c r="B37" s="11">
        <v>1033</v>
      </c>
      <c r="C37" s="12" t="s">
        <v>63</v>
      </c>
      <c r="D37" s="12" t="s">
        <v>23</v>
      </c>
      <c r="E37" s="12" t="s">
        <v>37</v>
      </c>
      <c r="F37" s="11">
        <v>22</v>
      </c>
      <c r="G37" s="11">
        <v>8</v>
      </c>
      <c r="H37" s="13">
        <v>45339</v>
      </c>
      <c r="J37" s="19">
        <v>176</v>
      </c>
    </row>
    <row r="38" spans="2:10" ht="30">
      <c r="B38" s="11">
        <v>1034</v>
      </c>
      <c r="C38" s="12" t="s">
        <v>64</v>
      </c>
      <c r="D38" s="12" t="s">
        <v>26</v>
      </c>
      <c r="E38" s="12" t="s">
        <v>24</v>
      </c>
      <c r="F38" s="11">
        <v>17</v>
      </c>
      <c r="G38" s="11">
        <v>50</v>
      </c>
      <c r="H38" s="13">
        <v>45340</v>
      </c>
      <c r="J38" s="19">
        <v>850</v>
      </c>
    </row>
    <row r="39" spans="2:10" ht="15">
      <c r="B39" s="11">
        <v>1035</v>
      </c>
      <c r="C39" s="12" t="s">
        <v>65</v>
      </c>
      <c r="D39" s="12" t="s">
        <v>29</v>
      </c>
      <c r="E39" s="12" t="s">
        <v>27</v>
      </c>
      <c r="F39" s="11">
        <v>19</v>
      </c>
      <c r="G39" s="11">
        <v>10</v>
      </c>
      <c r="H39" s="13">
        <v>45341</v>
      </c>
      <c r="J39" s="19">
        <v>190</v>
      </c>
    </row>
    <row r="40" spans="2:10" ht="30">
      <c r="B40" s="11">
        <v>1036</v>
      </c>
      <c r="C40" s="12" t="s">
        <v>66</v>
      </c>
      <c r="D40" s="12" t="s">
        <v>32</v>
      </c>
      <c r="E40" s="12" t="s">
        <v>30</v>
      </c>
      <c r="F40" s="11">
        <v>15</v>
      </c>
      <c r="G40" s="11">
        <v>25</v>
      </c>
      <c r="H40" s="13">
        <v>45343</v>
      </c>
      <c r="J40" s="19">
        <v>375</v>
      </c>
    </row>
    <row r="41" spans="2:10" ht="15">
      <c r="B41" s="11">
        <v>1037</v>
      </c>
      <c r="C41" s="12" t="s">
        <v>67</v>
      </c>
      <c r="D41" s="12" t="s">
        <v>23</v>
      </c>
      <c r="E41" s="12" t="s">
        <v>34</v>
      </c>
      <c r="F41" s="11">
        <v>28</v>
      </c>
      <c r="G41" s="11">
        <v>5</v>
      </c>
      <c r="H41" s="13">
        <v>45344</v>
      </c>
      <c r="J41" s="19">
        <v>140</v>
      </c>
    </row>
    <row r="42" spans="2:10" ht="30">
      <c r="B42" s="11">
        <v>1038</v>
      </c>
      <c r="C42" s="12" t="s">
        <v>68</v>
      </c>
      <c r="D42" s="12" t="s">
        <v>26</v>
      </c>
      <c r="E42" s="12" t="s">
        <v>37</v>
      </c>
      <c r="F42" s="11">
        <v>24</v>
      </c>
      <c r="G42" s="11">
        <v>8</v>
      </c>
      <c r="H42" s="13">
        <v>45345</v>
      </c>
      <c r="J42" s="19">
        <v>192</v>
      </c>
    </row>
    <row r="43" spans="2:10" ht="30">
      <c r="B43" s="11">
        <v>1039</v>
      </c>
      <c r="C43" s="12" t="s">
        <v>69</v>
      </c>
      <c r="D43" s="12" t="s">
        <v>29</v>
      </c>
      <c r="E43" s="12" t="s">
        <v>24</v>
      </c>
      <c r="F43" s="11">
        <v>16</v>
      </c>
      <c r="G43" s="11">
        <v>50</v>
      </c>
      <c r="H43" s="13">
        <v>45347</v>
      </c>
      <c r="J43" s="19">
        <v>800</v>
      </c>
    </row>
    <row r="44" spans="2:10" ht="30">
      <c r="B44" s="11">
        <v>1040</v>
      </c>
      <c r="C44" s="12" t="s">
        <v>70</v>
      </c>
      <c r="D44" s="12" t="s">
        <v>32</v>
      </c>
      <c r="E44" s="12" t="s">
        <v>27</v>
      </c>
      <c r="F44" s="11">
        <v>27</v>
      </c>
      <c r="G44" s="11">
        <v>10</v>
      </c>
      <c r="H44" s="13">
        <v>45348</v>
      </c>
      <c r="J44" s="19">
        <v>270</v>
      </c>
    </row>
    <row r="45" spans="2:10" ht="30">
      <c r="B45" s="11">
        <v>1041</v>
      </c>
      <c r="C45" s="12" t="s">
        <v>71</v>
      </c>
      <c r="D45" s="12" t="s">
        <v>23</v>
      </c>
      <c r="E45" s="12" t="s">
        <v>30</v>
      </c>
      <c r="F45" s="11">
        <v>21</v>
      </c>
      <c r="G45" s="11">
        <v>25</v>
      </c>
      <c r="H45" s="13">
        <v>45349</v>
      </c>
      <c r="J45" s="19">
        <v>525</v>
      </c>
    </row>
    <row r="46" spans="2:10" ht="30">
      <c r="B46" s="11">
        <v>1042</v>
      </c>
      <c r="C46" s="12" t="s">
        <v>72</v>
      </c>
      <c r="D46" s="12" t="s">
        <v>26</v>
      </c>
      <c r="E46" s="12" t="s">
        <v>34</v>
      </c>
      <c r="F46" s="11">
        <v>30</v>
      </c>
      <c r="G46" s="11">
        <v>5</v>
      </c>
      <c r="H46" s="13">
        <v>45350</v>
      </c>
      <c r="J46" s="19">
        <v>150</v>
      </c>
    </row>
    <row r="47" spans="2:10" ht="30">
      <c r="B47" s="11">
        <v>1043</v>
      </c>
      <c r="C47" s="12" t="s">
        <v>73</v>
      </c>
      <c r="D47" s="12" t="s">
        <v>29</v>
      </c>
      <c r="E47" s="12" t="s">
        <v>37</v>
      </c>
      <c r="F47" s="11">
        <v>26</v>
      </c>
      <c r="G47" s="11">
        <v>8</v>
      </c>
      <c r="H47" s="13">
        <v>45352</v>
      </c>
      <c r="J47" s="19">
        <v>208</v>
      </c>
    </row>
    <row r="48" spans="2:10" ht="15">
      <c r="B48" s="11">
        <v>1044</v>
      </c>
      <c r="C48" s="12" t="s">
        <v>74</v>
      </c>
      <c r="D48" s="12" t="s">
        <v>32</v>
      </c>
      <c r="E48" s="12" t="s">
        <v>24</v>
      </c>
      <c r="F48" s="11">
        <v>14</v>
      </c>
      <c r="G48" s="11">
        <v>50</v>
      </c>
      <c r="H48" s="13">
        <v>45353</v>
      </c>
      <c r="J48" s="19">
        <v>700</v>
      </c>
    </row>
    <row r="49" spans="2:10" ht="30">
      <c r="B49" s="11">
        <v>1045</v>
      </c>
      <c r="C49" s="12" t="s">
        <v>75</v>
      </c>
      <c r="D49" s="12" t="s">
        <v>23</v>
      </c>
      <c r="E49" s="12" t="s">
        <v>27</v>
      </c>
      <c r="F49" s="11">
        <v>20</v>
      </c>
      <c r="G49" s="11">
        <v>10</v>
      </c>
      <c r="H49" s="13">
        <v>45354</v>
      </c>
      <c r="J49" s="19">
        <v>200</v>
      </c>
    </row>
    <row r="50" spans="2:10" ht="15">
      <c r="B50" s="11">
        <v>1046</v>
      </c>
      <c r="C50" s="12" t="s">
        <v>76</v>
      </c>
      <c r="D50" s="12" t="s">
        <v>26</v>
      </c>
      <c r="E50" s="12" t="s">
        <v>30</v>
      </c>
      <c r="F50" s="11">
        <v>17</v>
      </c>
      <c r="G50" s="11">
        <v>25</v>
      </c>
      <c r="H50" s="13">
        <v>45355</v>
      </c>
      <c r="J50" s="19">
        <v>425</v>
      </c>
    </row>
    <row r="51" spans="2:10" ht="30">
      <c r="B51" s="11">
        <v>1047</v>
      </c>
      <c r="C51" s="12" t="s">
        <v>77</v>
      </c>
      <c r="D51" s="12" t="s">
        <v>29</v>
      </c>
      <c r="E51" s="12" t="s">
        <v>34</v>
      </c>
      <c r="F51" s="11">
        <v>19</v>
      </c>
      <c r="G51" s="11">
        <v>5</v>
      </c>
      <c r="H51" s="13">
        <v>45356</v>
      </c>
      <c r="J51" s="19">
        <v>95</v>
      </c>
    </row>
    <row r="52" spans="2:10" ht="30">
      <c r="B52" s="11">
        <v>1048</v>
      </c>
      <c r="C52" s="12" t="s">
        <v>78</v>
      </c>
      <c r="D52" s="12" t="s">
        <v>32</v>
      </c>
      <c r="E52" s="12" t="s">
        <v>37</v>
      </c>
      <c r="F52" s="11">
        <v>32</v>
      </c>
      <c r="G52" s="11">
        <v>8</v>
      </c>
      <c r="H52" s="13">
        <v>45357</v>
      </c>
      <c r="J52" s="19">
        <v>256</v>
      </c>
    </row>
    <row r="53" spans="2:10" ht="15">
      <c r="B53" s="11">
        <v>1049</v>
      </c>
      <c r="C53" s="12" t="s">
        <v>79</v>
      </c>
      <c r="D53" s="12" t="s">
        <v>23</v>
      </c>
      <c r="E53" s="12" t="s">
        <v>24</v>
      </c>
      <c r="F53" s="11">
        <v>12</v>
      </c>
      <c r="G53" s="11">
        <v>50</v>
      </c>
      <c r="H53" s="13">
        <v>45358</v>
      </c>
      <c r="J53" s="19">
        <v>600</v>
      </c>
    </row>
    <row r="54" spans="2:10" ht="30">
      <c r="B54" s="11">
        <v>1050</v>
      </c>
      <c r="C54" s="12" t="s">
        <v>80</v>
      </c>
      <c r="D54" s="12" t="s">
        <v>26</v>
      </c>
      <c r="E54" s="12" t="s">
        <v>27</v>
      </c>
      <c r="F54" s="11">
        <v>25</v>
      </c>
      <c r="G54" s="11">
        <v>10</v>
      </c>
      <c r="H54" s="13">
        <v>45359</v>
      </c>
      <c r="J54" s="19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Jha</dc:creator>
  <cp:lastModifiedBy>Admin</cp:lastModifiedBy>
  <dcterms:created xsi:type="dcterms:W3CDTF">2026-01-02T04:38:00Z</dcterms:created>
  <dcterms:modified xsi:type="dcterms:W3CDTF">2026-01-03T08:41:14Z</dcterms:modified>
</cp:coreProperties>
</file>